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 activeTab="2"/>
  </bookViews>
  <sheets>
    <sheet name="00说明" sheetId="1" r:id="rId1"/>
    <sheet name="01知识状态" sheetId="2" r:id="rId2"/>
    <sheet name="02选项编号" sheetId="3" r:id="rId3"/>
    <sheet name="03_S03卡牌组合" sheetId="4" r:id="rId4"/>
    <sheet name="04卡牌生命周期" sheetId="5" r:id="rId5"/>
    <sheet name="05_S05物品处置" sheetId="6" r:id="rId6"/>
    <sheet name="06结局判定" sheetId="7" r:id="rId7"/>
    <sheet name="07数值索引" sheetId="8" r:id="rId8"/>
    <sheet name="08可达路径测试" sheetId="9" r:id="rId9"/>
    <sheet name="08A前置合法性" sheetId="11" r:id="rId10"/>
    <sheet name="00A主线剧情节拍" sheetId="12" r:id="rId11"/>
    <sheet name="05A终局分流" sheetId="13" r:id="rId12"/>
    <sheet name="bug整理" sheetId="10" r:id="rId13"/>
    <sheet name="09对白写作任务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<sst xmlns="http://schemas.openxmlformats.org/spreadsheetml/2006/main" count="1936" uniqueCount="982">
  <si>
    <t>《无名圣女》场景—卡牌—变量—结局总表 v0.3</t>
  </si>
  <si>
    <t>一、这份工作簿解决什么</t>
  </si>
  <si>
    <t>工作表</t>
  </si>
  <si>
    <t>用途</t>
  </si>
  <si>
    <t>01知识状态</t>
  </si>
  <si>
    <r>
      <rPr>
        <sz val="11"/>
        <color rgb="FF263238"/>
        <rFont val="宋体"/>
        <charset val="134"/>
      </rPr>
      <t>逐场区分玩家、阿芸、阿禾及其他</t>
    </r>
    <r>
      <rPr>
        <sz val="11"/>
        <color rgb="FF263238"/>
        <rFont val="Carlito"/>
        <charset val="134"/>
      </rPr>
      <t>NPC</t>
    </r>
    <r>
      <rPr>
        <sz val="11"/>
        <color rgb="FF263238"/>
        <rFont val="宋体"/>
        <charset val="134"/>
      </rPr>
      <t>分别知道什么，避免角色越过信息边界。</t>
    </r>
  </si>
  <si>
    <t>02选项编号</t>
  </si>
  <si>
    <r>
      <rPr>
        <sz val="11"/>
        <color rgb="FF263238"/>
        <rFont val="宋体"/>
        <charset val="134"/>
      </rPr>
      <t>为普通对话与关键回应分配唯一</t>
    </r>
    <r>
      <rPr>
        <sz val="11"/>
        <color rgb="FF263238"/>
        <rFont val="Carlito"/>
        <charset val="134"/>
      </rPr>
      <t>ID</t>
    </r>
    <r>
      <rPr>
        <sz val="11"/>
        <color rgb="FF263238"/>
        <rFont val="宋体"/>
        <charset val="134"/>
      </rPr>
      <t>；数值列自动读取</t>
    </r>
    <r>
      <rPr>
        <sz val="11"/>
        <color rgb="FF263238"/>
        <rFont val="Carlito"/>
        <charset val="134"/>
      </rPr>
      <t>07</t>
    </r>
    <r>
      <rPr>
        <sz val="11"/>
        <color rgb="FF263238"/>
        <rFont val="宋体"/>
        <charset val="134"/>
      </rPr>
      <t>数值索引。</t>
    </r>
  </si>
  <si>
    <t>03_S03卡牌组合</t>
  </si>
  <si>
    <r>
      <rPr>
        <sz val="11"/>
        <color rgb="FF263238"/>
        <rFont val="宋体"/>
        <charset val="134"/>
      </rPr>
      <t>列出</t>
    </r>
    <r>
      <rPr>
        <sz val="11"/>
        <color rgb="FF263238"/>
        <rFont val="Carlito"/>
        <charset val="134"/>
      </rPr>
      <t>3</t>
    </r>
    <r>
      <rPr>
        <sz val="11"/>
        <color rgb="FF263238"/>
        <rFont val="宋体"/>
        <charset val="134"/>
      </rPr>
      <t>人物</t>
    </r>
    <r>
      <rPr>
        <sz val="11"/>
        <color rgb="FF263238"/>
        <rFont val="Carlito"/>
        <charset val="134"/>
      </rPr>
      <t>×3</t>
    </r>
    <r>
      <rPr>
        <sz val="11"/>
        <color rgb="FF263238"/>
        <rFont val="宋体"/>
        <charset val="134"/>
      </rPr>
      <t>手段</t>
    </r>
    <r>
      <rPr>
        <sz val="11"/>
        <color rgb="FF263238"/>
        <rFont val="Carlito"/>
        <charset val="134"/>
      </rPr>
      <t>×2</t>
    </r>
    <r>
      <rPr>
        <sz val="11"/>
        <color rgb="FF263238"/>
        <rFont val="宋体"/>
        <charset val="134"/>
      </rPr>
      <t>身份的</t>
    </r>
    <r>
      <rPr>
        <sz val="11"/>
        <color rgb="FF263238"/>
        <rFont val="Carlito"/>
        <charset val="134"/>
      </rPr>
      <t>18</t>
    </r>
    <r>
      <rPr>
        <sz val="11"/>
        <color rgb="FF263238"/>
        <rFont val="宋体"/>
        <charset val="134"/>
      </rPr>
      <t>种组合，以及关键、普通、冲突与转化反馈。</t>
    </r>
  </si>
  <si>
    <t>04卡牌生命周期</t>
  </si>
  <si>
    <t>记录每张卡何时获得、翻面、被角色拒绝以及最终去向。</t>
  </si>
  <si>
    <t>05_S05物品处置</t>
  </si>
  <si>
    <r>
      <rPr>
        <sz val="11"/>
        <color rgb="FF263238"/>
        <rFont val="宋体"/>
        <charset val="134"/>
      </rPr>
      <t>明确四件关键物的</t>
    </r>
    <r>
      <rPr>
        <sz val="11"/>
        <color rgb="FF263238"/>
        <rFont val="Carlito"/>
        <charset val="134"/>
      </rPr>
      <t>12</t>
    </r>
    <r>
      <rPr>
        <sz val="11"/>
        <color rgb="FF263238"/>
        <rFont val="宋体"/>
        <charset val="134"/>
      </rPr>
      <t>种去向和</t>
    </r>
    <r>
      <rPr>
        <sz val="11"/>
        <color rgb="FF263238"/>
        <rFont val="Carlito"/>
        <charset val="134"/>
      </rPr>
      <t>5</t>
    </r>
    <r>
      <rPr>
        <sz val="11"/>
        <color rgb="FF263238"/>
        <rFont val="宋体"/>
        <charset val="134"/>
      </rPr>
      <t>种终局行动。</t>
    </r>
  </si>
  <si>
    <t>06结局判定</t>
  </si>
  <si>
    <t>固定判定优先级和阈值，避免多个结局同时满足时随机落点。</t>
  </si>
  <si>
    <t>07数值索引</t>
  </si>
  <si>
    <t>唯一数值源。后续调整承担、依赖、信任、追捕时只改这一张表。</t>
  </si>
  <si>
    <t>08可达路径测试</t>
  </si>
  <si>
    <t>用公式验证每个结局至少有一条路径，并提供极端与边界路线。</t>
  </si>
  <si>
    <t>二、四个隐藏变量如何理解</t>
  </si>
  <si>
    <t>变量</t>
  </si>
  <si>
    <t>起点</t>
  </si>
  <si>
    <t>高分意味着</t>
  </si>
  <si>
    <t>低分意味着</t>
  </si>
  <si>
    <t>是否向玩家显示</t>
  </si>
  <si>
    <t>承担</t>
  </si>
  <si>
    <t>承认因果，并让证据与资源离开自己控制</t>
  </si>
  <si>
    <t>辩解、切割、继续把成本转给别人</t>
  </si>
  <si>
    <t>不显示</t>
  </si>
  <si>
    <t>圣女依赖</t>
  </si>
  <si>
    <t>越来越习惯用身份、信徒和神谕快速解决问题</t>
  </si>
  <si>
    <t>倾向以普通人身份承担较慢的行动</t>
  </si>
  <si>
    <t>不显示；通过UI华丽程度反馈</t>
  </si>
  <si>
    <t>阿禾信任</t>
  </si>
  <si>
    <t>相信当下的阿芸至少不会再次利用自己</t>
  </si>
  <si>
    <t>认为阿芸仍在控制信息和牺牲别人</t>
  </si>
  <si>
    <t>不显示；通过人物卡可用性反馈</t>
  </si>
  <si>
    <t>追捕压力</t>
  </si>
  <si>
    <t>身份暴露、停留过久，终局更可能死亡</t>
  </si>
  <si>
    <t>行动隐蔽，保留撤离空间</t>
  </si>
  <si>
    <t>不显示；通过马蹄、搜查与音效反馈</t>
  </si>
  <si>
    <t>三、修改顺序</t>
  </si>
  <si>
    <t>1</t>
  </si>
  <si>
    <t>先在07数值索引调整分值；不要直接改其他表的公式列。</t>
  </si>
  <si>
    <t>2</t>
  </si>
  <si>
    <t>再到08可达路径测试查看结局是否仍全部可达。</t>
  </si>
  <si>
    <t>4</t>
  </si>
  <si>
    <t>保持六个主场景；河滩/破祠堂、旧救济殿/纸扎铺使用子场景编号，避免既有选项与公式整体错位。</t>
  </si>
  <si>
    <t>5</t>
  </si>
  <si>
    <t>原型优先实现S01—S03；S04—S05保留完整数据、对白任务与终局测试。</t>
  </si>
  <si>
    <t>6</t>
  </si>
  <si>
    <t>正式对白由用户主笔；本表只规定剧情功能、认知边界、变量结果和禁止越界信息。</t>
  </si>
  <si>
    <t>四、v0.3新增工作表</t>
  </si>
  <si>
    <t>00A主线剧情节拍</t>
  </si>
  <si>
    <t>串联六个主场景、八个子场景的进入条件、目标、冲突、揭示与出口。</t>
  </si>
  <si>
    <t>05A终局分流</t>
  </si>
  <si>
    <t>明确交给阿禾、交给接头人、亲自公开、自行保留四种证据路线。</t>
  </si>
  <si>
    <t>08A前置合法性</t>
  </si>
  <si>
    <t>逐步检查接头暗号、阿禾接受条件、佩印条件与弃责条件，避免假PASS。</t>
  </si>
  <si>
    <t>09对白写作任务</t>
  </si>
  <si>
    <t>标注用户需要主笔的对白段落、功能、认知边界和禁止写法。</t>
  </si>
  <si>
    <t>bug整理</t>
  </si>
  <si>
    <t>记录全部建议、评估结果、最终决策及落实位置。</t>
  </si>
  <si>
    <t>01｜逐场知识状态</t>
  </si>
  <si>
    <t>原则：玩家知道≠主角知道；主角知道≠NPC知道。六个主场景可含子场景，所有信息必须有可见来源。</t>
  </si>
  <si>
    <t>场次</t>
  </si>
  <si>
    <t>地点</t>
  </si>
  <si>
    <t>玩家当前知道</t>
  </si>
  <si>
    <t>阿芸当前知道</t>
  </si>
  <si>
    <t>阿禾当前知道</t>
  </si>
  <si>
    <t>沈婆当前知道</t>
  </si>
  <si>
    <t>老乞丐当前知道</t>
  </si>
  <si>
    <t>魏先当前知道</t>
  </si>
  <si>
    <t>S01-A</t>
  </si>
  <si>
    <t>河滩</t>
  </si>
  <si>
    <t>阿芸从水中被拖出；一大一小两个身影争论是否救她</t>
  </si>
  <si>
    <t>身体沉重、失去姓名与来历；只能判断两人暂时没有杀意</t>
  </si>
  <si>
    <t>认出落水者仍有气；坚持救人</t>
  </si>
  <si>
    <t>未出场</t>
  </si>
  <si>
    <t>嫌麻烦但没有真正阻止阿禾</t>
  </si>
  <si>
    <t>只知道圣女坠河、藏物不见；尚未确认其生死</t>
  </si>
  <si>
    <t>S01-B</t>
  </si>
  <si>
    <t>破祠堂</t>
  </si>
  <si>
    <t>阿芸失忆；河岸附近出现搜查者；她的呼吸和观察习惯异常熟练</t>
  </si>
  <si>
    <t>知道自己饥饿、受伤、害怕锣鼓与官差；不知道追兵为何而来</t>
  </si>
  <si>
    <t>救下陌生女人；察觉她不像普通流民；询问追兵是否在找她</t>
  </si>
  <si>
    <t>看出她受过训练，只保留怀疑</t>
  </si>
  <si>
    <t>听属下汇报搜索结果，判断她若活着会寻找遮蔽与食物</t>
  </si>
  <si>
    <t>S02-A</t>
  </si>
  <si>
    <t>县城／旧救济殿</t>
  </si>
  <si>
    <t>改址告示压住旧‘赐福供奉’告示；有人持旧粮牌被拒；告示角落有不寻常记号</t>
  </si>
  <si>
    <t>对县城贫困感到意外；不明白自己为何觉得这里本应富庶；对告示改动方式产生身体熟悉感</t>
  </si>
  <si>
    <t>知道沈婆住得偏远，可能不知道改址；疑惑阿芸为何熟悉旧救济殿</t>
  </si>
  <si>
    <t>尚不知道救济点已改；保留刘家旧粮牌</t>
  </si>
  <si>
    <t>认出改址记号与地下传递有关，但只说自己先去新救济点探路</t>
  </si>
  <si>
    <t>魏先判断阿芸若活着可能回旧活动区域，命人盯守新旧救济点</t>
  </si>
  <si>
    <t>S02-B</t>
  </si>
  <si>
    <t>纸扎铺</t>
  </si>
  <si>
    <t>沈婆凭声音、站姿和动作认出阿芸；褪色圣女像仍被当作护佑；沈婆取出刘家旧粮牌</t>
  </si>
  <si>
    <t>怀疑自己与画像和圣女有关；掌握祭仪话术却不知道来源</t>
  </si>
  <si>
    <t>第一次看到沈婆跪拜；听见自己的全名‘刘家禾’与旧粮牌相连；开始警惕阿芸</t>
  </si>
  <si>
    <t>确认阿芸是曾来主持法会的圣女；仍相信她救过孙女</t>
  </si>
  <si>
    <t>不在场；无法通过阿禾描述提前知道纸扎铺发生的事</t>
  </si>
  <si>
    <t>沿河与旧救济殿布置搜查，尚未锁定纸扎铺</t>
  </si>
  <si>
    <t>S03</t>
  </si>
  <si>
    <t>临时救济点</t>
  </si>
  <si>
    <t>空锅、藏粮与圣女崇拜同时出现；玩家第一次用人物×手段×身份组合行动</t>
  </si>
  <si>
    <t>身体记得如何控制呼吸、停顿、视线和人群；获得美化记忆《金粥赐福》</t>
  </si>
  <si>
    <t>确认阿芸和圣女关系极深；根据她是否造神改变信任</t>
  </si>
  <si>
    <t>将任何有效救粮都解释为圣女显灵</t>
  </si>
  <si>
    <t>在藏粮封签上再次看见改址记号；行动结束后给出半张仓单与不完整暗号</t>
  </si>
  <si>
    <t>通过‘圣女归来’或粮仓骚动缩小搜索范围</t>
  </si>
  <si>
    <t>S04</t>
  </si>
  <si>
    <t>旧救济殿后室</t>
  </si>
  <si>
    <t>旧粮牌指向封存赈籍；名单显示刘家因未缴供奉被除名；记忆翻为《锅底没有米》《被划掉的一家人》</t>
  </si>
  <si>
    <t>恢复主动划名与共犯罪责；知道失忆不能替自己免责；想起旧祈福台藏物位置</t>
  </si>
  <si>
    <t>确认弟弟病死、父亲抢粮被杀与除名直接相关；依据阿芸回应决定是否接受证据</t>
  </si>
  <si>
    <t>不在场；仍相信圣女回归能够修正一切</t>
  </si>
  <si>
    <t>知道名单与旧教团骗局；不替阿芸求情，只观察她是否交出控制权</t>
  </si>
  <si>
    <t>进入县城核心区域，判断阿芸已恢复部分记忆并会去取旧物</t>
  </si>
  <si>
    <t>S05</t>
  </si>
  <si>
    <t>旧祈福台</t>
  </si>
  <si>
    <t>玩家通过三步环境机关取回账簿、密函、银票和旧印；证据去向与终局行动分两阶段选择</t>
  </si>
  <si>
    <t>完整知道旧罪、藏物、魏先计划和旧权力入口；仍可选择交出、公开、保留或重新佩印</t>
  </si>
  <si>
    <t>知道阿芸罪责与四件旧物；高信任时协作撤离，中信任时只带证据离开，低信任时拒绝接手</t>
  </si>
  <si>
    <t>若被召来，只知道圣女与魏先发生冲突</t>
  </si>
  <si>
    <t>用半张仓单和对缝暗号验证接头渠道；只负责搭桥，不替任何人担保人格</t>
  </si>
  <si>
    <t>包围祈福台，试图夺回证据并把阿芸重新包装为叛教者或殉道者</t>
  </si>
  <si>
    <t>S06</t>
  </si>
  <si>
    <t>结局演出</t>
  </si>
  <si>
    <t>看到此前行为组合出的结果，而不是点击结局按钮</t>
  </si>
  <si>
    <t>依据路线承担、逃避、重新掌权或死亡</t>
  </si>
  <si>
    <t>依据路线同行、带证据离开、拒绝或在再次被利用时审判阿芸</t>
  </si>
  <si>
    <t>第二圣女路线中继续跪拜；其他路线未必获知全部真相</t>
  </si>
  <si>
    <t>保持旁观；接头路线只确认物品是否成功送出</t>
  </si>
  <si>
    <t>被击退、成功灭口或在聚众中失去控制，按路线结算</t>
  </si>
  <si>
    <t>02｜普通选项与关键回应编号</t>
  </si>
  <si>
    <r>
      <t>六个主场景：</t>
    </r>
    <r>
      <rPr>
        <sz val="10"/>
        <color rgb="FF263238"/>
        <rFont val="Carlito"/>
        <charset val="134"/>
      </rPr>
      <t>S01</t>
    </r>
    <r>
      <rPr>
        <sz val="10"/>
        <color rgb="FF263238"/>
        <rFont val="宋体"/>
        <charset val="134"/>
      </rPr>
      <t>含河滩／破祠堂，</t>
    </r>
    <r>
      <rPr>
        <sz val="10"/>
        <color rgb="FF263238"/>
        <rFont val="Carlito"/>
        <charset val="134"/>
      </rPr>
      <t>S02</t>
    </r>
    <r>
      <rPr>
        <sz val="10"/>
        <color rgb="FF263238"/>
        <rFont val="宋体"/>
        <charset val="134"/>
      </rPr>
      <t>含旧救济殿／纸扎铺，</t>
    </r>
    <r>
      <rPr>
        <sz val="10"/>
        <color rgb="FF263238"/>
        <rFont val="Carlito"/>
        <charset val="134"/>
      </rPr>
      <t>S03</t>
    </r>
    <r>
      <rPr>
        <sz val="10"/>
        <color rgb="FF263238"/>
        <rFont val="宋体"/>
        <charset val="134"/>
      </rPr>
      <t>空锅卡牌组合，</t>
    </r>
    <r>
      <rPr>
        <sz val="10"/>
        <color rgb="FF263238"/>
        <rFont val="Carlito"/>
        <charset val="134"/>
      </rPr>
      <t>S04</t>
    </r>
    <r>
      <rPr>
        <sz val="10"/>
        <color rgb="FF263238"/>
        <rFont val="宋体"/>
        <charset val="134"/>
      </rPr>
      <t>名单真相，</t>
    </r>
    <r>
      <rPr>
        <sz val="10"/>
        <color rgb="FF263238"/>
        <rFont val="Carlito"/>
        <charset val="134"/>
      </rPr>
      <t>S05</t>
    </r>
    <r>
      <rPr>
        <sz val="10"/>
        <color rgb="FF263238"/>
        <rFont val="宋体"/>
        <charset val="134"/>
      </rPr>
      <t>旧物与终局行动，</t>
    </r>
    <r>
      <rPr>
        <sz val="10"/>
        <color rgb="FF263238"/>
        <rFont val="Carlito"/>
        <charset val="134"/>
      </rPr>
      <t>S06</t>
    </r>
    <r>
      <rPr>
        <sz val="10"/>
        <color rgb="FF263238"/>
        <rFont val="宋体"/>
        <charset val="134"/>
      </rPr>
      <t>结局。</t>
    </r>
  </si>
  <si>
    <t>唯一编号</t>
  </si>
  <si>
    <t>触发问题</t>
  </si>
  <si>
    <t>玩家可见文本／行动</t>
  </si>
  <si>
    <t>设计意图</t>
  </si>
  <si>
    <t>反馈</t>
  </si>
  <si>
    <t>S01-O01</t>
  </si>
  <si>
    <t>S01</t>
  </si>
  <si>
    <t>阿禾问追兵是否在找她</t>
  </si>
  <si>
    <t>我不知道，但我不想连累你。</t>
  </si>
  <si>
    <t>坦白有限信息</t>
  </si>
  <si>
    <t>阿禾信任上升</t>
  </si>
  <si>
    <t>S01-O02</t>
  </si>
  <si>
    <t>同上</t>
  </si>
  <si>
    <t>不是。一定是你看错了。</t>
  </si>
  <si>
    <t>否认与控制</t>
  </si>
  <si>
    <t>阿禾表面不问，暗中观察</t>
  </si>
  <si>
    <t>S01-O03</t>
  </si>
  <si>
    <t>如果他们来了，你会把我交出去吗？</t>
  </si>
  <si>
    <t>试探</t>
  </si>
  <si>
    <t>暴露求生与察言观色本能</t>
  </si>
  <si>
    <t>S02-O01</t>
  </si>
  <si>
    <t>S02</t>
  </si>
  <si>
    <t>沈婆跪拜</t>
  </si>
  <si>
    <t>让她起身，否认自己是圣女。</t>
  </si>
  <si>
    <t>拒绝身份</t>
  </si>
  <si>
    <t>阿禾稍微放松</t>
  </si>
  <si>
    <t>S02-O02</t>
  </si>
  <si>
    <t>追问过去法会发生了什么。</t>
  </si>
  <si>
    <t>调查</t>
  </si>
  <si>
    <t>获得法会信息，不立即站队</t>
  </si>
  <si>
    <t>S02-O03</t>
  </si>
  <si>
    <t>默认跪拜，以身份换取帮助。</t>
  </si>
  <si>
    <t>借用身份</t>
  </si>
  <si>
    <t>圣女依赖与暴露上升</t>
  </si>
  <si>
    <t>S04-A01</t>
  </si>
  <si>
    <t>S04-A</t>
  </si>
  <si>
    <t>阿禾问名单内容</t>
  </si>
  <si>
    <t>一张废名单。</t>
  </si>
  <si>
    <t>完整隐瞒</t>
  </si>
  <si>
    <t>阿禾开始核对每句话</t>
  </si>
  <si>
    <t>S04-A02</t>
  </si>
  <si>
    <t>和万清教有关，我还没看清。</t>
  </si>
  <si>
    <t>部分隐瞒</t>
  </si>
  <si>
    <t>仍保留最危险的部分</t>
  </si>
  <si>
    <t>S04-A03</t>
  </si>
  <si>
    <t>上面有你的名字。</t>
  </si>
  <si>
    <t>主动交代</t>
  </si>
  <si>
    <t>承担上升</t>
  </si>
  <si>
    <t>S04-A04</t>
  </si>
  <si>
    <r>
      <rPr>
        <sz val="9"/>
        <color rgb="FF263238"/>
        <rFont val="宋体"/>
        <charset val="134"/>
      </rPr>
      <t>......(沉默</t>
    </r>
    <r>
      <rPr>
        <sz val="9"/>
        <color rgb="FF263238"/>
        <rFont val="Carlito"/>
        <charset val="134"/>
      </rPr>
      <t xml:space="preserve">)
</t>
    </r>
    <r>
      <rPr>
        <sz val="9"/>
        <color rgb="FF263238"/>
        <rFont val="宋体"/>
        <charset val="134"/>
      </rPr>
      <t>把名单交给阿禾。</t>
    </r>
  </si>
  <si>
    <t>交出信息控制权</t>
  </si>
  <si>
    <t>不预设辩词（阿禾表情骤变）</t>
  </si>
  <si>
    <t>S04-B01</t>
  </si>
  <si>
    <t>S04-B</t>
  </si>
  <si>
    <t>阿禾逼问为何知道四口人</t>
  </si>
  <si>
    <t>那句话是我说的，名字也是我让人划掉的。</t>
  </si>
  <si>
    <t>完整承认</t>
  </si>
  <si>
    <t>不恢复原谅，只保留观察机会</t>
  </si>
  <si>
    <t>S04-B02</t>
  </si>
  <si>
    <t>是我说的，可我不知道最后会死人。</t>
  </si>
  <si>
    <t>部分辩解</t>
  </si>
  <si>
    <t>保留‘我没亲自动手’的自我保护</t>
  </si>
  <si>
    <t>S04-B03</t>
  </si>
  <si>
    <t>做那件事的人不是现在的我。</t>
  </si>
  <si>
    <t>用失忆切割</t>
  </si>
  <si>
    <t>阿禾指出债务不能被切给另一个人</t>
  </si>
  <si>
    <t>S04-B04</t>
  </si>
  <si>
    <t>你可以杀了我。</t>
  </si>
  <si>
    <t>以求死逃避承担</t>
  </si>
  <si>
    <t>阿禾拒绝替她结束问题</t>
  </si>
  <si>
    <t>ACT-PROTECT</t>
  </si>
  <si>
    <t>魏先包围祈福台</t>
  </si>
  <si>
    <t>让阿禾带证据先走，自己留下拖延。</t>
  </si>
  <si>
    <t>承担行动</t>
  </si>
  <si>
    <t>追捕高时转为《证人之死》</t>
  </si>
  <si>
    <t>ACT-UNDER</t>
  </si>
  <si>
    <t>按暗号把证据转交接头人，从旧地道撤离。</t>
  </si>
  <si>
    <t>结构性行动</t>
  </si>
  <si>
    <t>需要接头线索</t>
  </si>
  <si>
    <t>ACT-SAINT</t>
  </si>
  <si>
    <t>佩印，以神谕宣布魏先背叛神意。</t>
  </si>
  <si>
    <t>重新掌权</t>
  </si>
  <si>
    <t>依赖高时《第二位圣女》；追捕极高时死亡</t>
  </si>
  <si>
    <t>ACT-ESCAPE</t>
  </si>
  <si>
    <t>藏起证据，携银独自逃亡。</t>
  </si>
  <si>
    <t>逃避</t>
  </si>
  <si>
    <t>未再次利用阿禾，进入《逃避》</t>
  </si>
  <si>
    <t>ACT-BETRAY</t>
  </si>
  <si>
    <t>谎称证据已送出，让阿禾拿空包引开追兵。</t>
  </si>
  <si>
    <t>再次利用</t>
  </si>
  <si>
    <t>满足条件时触发《审判》</t>
  </si>
  <si>
    <t>03｜S03‘空锅前的神迹’有限卡牌组合</t>
  </si>
  <si>
    <t>组合ID</t>
  </si>
  <si>
    <t>人物卡</t>
  </si>
  <si>
    <t>手段卡</t>
  </si>
  <si>
    <t>身份卡</t>
  </si>
  <si>
    <t>级别</t>
  </si>
  <si>
    <t>系统反馈</t>
  </si>
  <si>
    <t>剧情结果／趣味反馈</t>
  </si>
  <si>
    <t>依赖</t>
  </si>
  <si>
    <t>信任</t>
  </si>
  <si>
    <t>追捕</t>
  </si>
  <si>
    <t>接头线索</t>
  </si>
  <si>
    <t>C-S03-A-F-R</t>
  </si>
  <si>
    <t>阿禾</t>
  </si>
  <si>
    <t>少量食物</t>
  </si>
  <si>
    <t>无名流民</t>
  </si>
  <si>
    <t>关键</t>
  </si>
  <si>
    <t>可执行</t>
  </si>
  <si>
    <t>两人先救伤者和孩子；骚乱暂缓，但无法解决整体饥荒</t>
  </si>
  <si>
    <t>C-S03-A-I-R</t>
  </si>
  <si>
    <t>藏粮消息</t>
  </si>
  <si>
    <t>阿禾带人找到后院藏粮，粮商记住她的脸；封签出现与改址告示相同的记号</t>
  </si>
  <si>
    <t>C-S03-A-P-R</t>
  </si>
  <si>
    <t>褪色圣女像</t>
  </si>
  <si>
    <t>冲突</t>
  </si>
  <si>
    <t>拒绝后重选</t>
  </si>
  <si>
    <t>阿禾把画像推回去：‘纸上的人又不会搬粮。’</t>
  </si>
  <si>
    <t>C-S03-A-F-P</t>
  </si>
  <si>
    <t>画像中的女人</t>
  </si>
  <si>
    <t>普通</t>
  </si>
  <si>
    <t>阿芸以训练过的声音维持秩序，阿禾分粮；救助变快，但阿禾开始警惕</t>
  </si>
  <si>
    <t>C-S03-A-I-P</t>
  </si>
  <si>
    <t>阿芸把真实消息说成预言；阿禾只负责开门，不肯替她作证；封签记号被老乞丐认出</t>
  </si>
  <si>
    <t>C-S03-A-P-P</t>
  </si>
  <si>
    <t>阿禾拒绝扮演神迹见证人，人物卡弹回</t>
  </si>
  <si>
    <t>C-S03-S-F-R</t>
  </si>
  <si>
    <t>沈婆</t>
  </si>
  <si>
    <t>沈婆凭熟人关系组织排队，食物仍然不够</t>
  </si>
  <si>
    <t>C-S03-S-I-R</t>
  </si>
  <si>
    <t>沈婆以纸扎铺老板身份作证；开仓后发现带记号的封签，老乞丐确认其与转运网有关</t>
  </si>
  <si>
    <t>C-S03-S-P-R</t>
  </si>
  <si>
    <t>转化</t>
  </si>
  <si>
    <t>确认后重选</t>
  </si>
  <si>
    <t>阿芸否认身份，沈婆却先跪下；系统询问是否接受《画像中的女人》</t>
  </si>
  <si>
    <t>C-S03-S-F-P</t>
  </si>
  <si>
    <t>沈婆高喊赐福，少量食物被包装成圣女回归的证明</t>
  </si>
  <si>
    <t>C-S03-S-I-P</t>
  </si>
  <si>
    <t>核心</t>
  </si>
  <si>
    <t>阿芸把情报包装成神谕逼粮商开仓；救人最多、暴露最大，并发现接头标记</t>
  </si>
  <si>
    <t>C-S03-S-P-P</t>
  </si>
  <si>
    <t>沈婆认主，人群随之跪拜；阿芸一句话尚未说，秩序已属于她</t>
  </si>
  <si>
    <t>C-S03-O-F-R</t>
  </si>
  <si>
    <t>老乞丐</t>
  </si>
  <si>
    <t>老乞丐知道谁最撑不过今晚，少量食物被分给真正濒危的人</t>
  </si>
  <si>
    <t>C-S03-O-I-R</t>
  </si>
  <si>
    <t>老乞丐趁乱开后门放粮；用半张旧仓单验证封签记号，场后给出完整暗号</t>
  </si>
  <si>
    <t>C-S03-O-P-R</t>
  </si>
  <si>
    <t>老乞丐把纸像卷起来：‘这个不能煮，连火都烧不旺。’</t>
  </si>
  <si>
    <t>C-S03-O-F-P</t>
  </si>
  <si>
    <t>他愿意分粮，不愿跪着分：‘你能使唤他们，别使唤我。’</t>
  </si>
  <si>
    <t>C-S03-O-I-P</t>
  </si>
  <si>
    <t>老乞丐递出真消息，观察阿芸如何把事实变成神谕；事后仍以仓单验证接头渠道</t>
  </si>
  <si>
    <t>C-S03-O-P-P</t>
  </si>
  <si>
    <t>老乞丐拒绝登台：‘我看过三位圣女，纸做的最耐活。’</t>
  </si>
  <si>
    <t>04｜卡牌生命周期</t>
  </si>
  <si>
    <t>卡牌ID</t>
  </si>
  <si>
    <t>类别</t>
  </si>
  <si>
    <t>卡名</t>
  </si>
  <si>
    <t>首次获得</t>
  </si>
  <si>
    <t>翻面／强化</t>
  </si>
  <si>
    <t>拒绝条件</t>
  </si>
  <si>
    <t>最终去向</t>
  </si>
  <si>
    <t>设计作用</t>
  </si>
  <si>
    <t>Demo状态</t>
  </si>
  <si>
    <t>ID-01</t>
  </si>
  <si>
    <t>身份</t>
  </si>
  <si>
    <t>《无名流民》</t>
  </si>
  <si>
    <t>S01醒来后</t>
  </si>
  <si>
    <t>S01—S05始终可用</t>
  </si>
  <si>
    <t>无</t>
  </si>
  <si>
    <t>S05仍可用于普通人行动</t>
  </si>
  <si>
    <t>代表低效率但不支配他人的方法</t>
  </si>
  <si>
    <t>常驻</t>
  </si>
  <si>
    <t>ID-02</t>
  </si>
  <si>
    <t>《画像中的女人》</t>
  </si>
  <si>
    <t>S02被沈婆认出后</t>
  </si>
  <si>
    <t>S03接受认主或S04强制确认</t>
  </si>
  <si>
    <t>阿禾拒绝为其扮演神迹见证人</t>
  </si>
  <si>
    <t>翻为《万清圣女》</t>
  </si>
  <si>
    <t>身份悬念的中间态</t>
  </si>
  <si>
    <t>常驻至翻面</t>
  </si>
  <si>
    <t>ID-03</t>
  </si>
  <si>
    <t>《万清圣女》</t>
  </si>
  <si>
    <t>S03可选解锁；S04必然解锁</t>
  </si>
  <si>
    <t>佩戴旧印后强化</t>
  </si>
  <si>
    <t>高信任阿禾仍拒绝替她造神</t>
  </si>
  <si>
    <t>重新掌权／拒绝使用／死亡</t>
  </si>
  <si>
    <t>越好用，越危险</t>
  </si>
  <si>
    <t>分支核心</t>
  </si>
  <si>
    <t>CH-01</t>
  </si>
  <si>
    <t>人物</t>
  </si>
  <si>
    <t>《阿禾》</t>
  </si>
  <si>
    <t>S01救助后</t>
  </si>
  <si>
    <t>信任随选择变化</t>
  </si>
  <si>
    <t>S03拒绝圣女画像组合；信任过低拒绝带证据</t>
  </si>
  <si>
    <t>同行／离开／审判阿芸</t>
  </si>
  <si>
    <t>人物卡不是工具</t>
  </si>
  <si>
    <t>CH-02</t>
  </si>
  <si>
    <t>《纸扎铺的沈婆》</t>
  </si>
  <si>
    <t>S02完成认主</t>
  </si>
  <si>
    <t>使用圣女身份时影响力增强</t>
  </si>
  <si>
    <t>不会拒绝圣女组合；会误读真相为神迹</t>
  </si>
  <si>
    <t>第二圣女路线继续跪拜</t>
  </si>
  <si>
    <t>展示信徒为何需要圣女</t>
  </si>
  <si>
    <t>S02起可用</t>
  </si>
  <si>
    <t>CH-03</t>
  </si>
  <si>
    <t>《老乞丐》</t>
  </si>
  <si>
    <t>S01开场前已与阿禾相互照应一段时间；S03成为可用卡</t>
  </si>
  <si>
    <t>调查藏粮后以半张仓单验证接头渠道</t>
  </si>
  <si>
    <t>拒绝画像与登台组合</t>
  </si>
  <si>
    <t>旁观／提供渠道／不替主角赎罪</t>
  </si>
  <si>
    <t>冷幽默、底层经验与接头桥梁</t>
  </si>
  <si>
    <t>S03可用</t>
  </si>
  <si>
    <t>CH-04</t>
  </si>
  <si>
    <t>《唐姓接头人》</t>
  </si>
  <si>
    <t>S03调查藏粮后，由老乞丐用仓单与暗号验证</t>
  </si>
  <si>
    <t>无升级；只证明身份和转运能力，不证明道德可靠</t>
  </si>
  <si>
    <t>未取得完整暗号时卡牌不出现</t>
  </si>
  <si>
    <t>接收账簿／密函并送出县城</t>
  </si>
  <si>
    <t>结构性行动渠道，不扩写个人支线</t>
  </si>
  <si>
    <t>条件卡</t>
  </si>
  <si>
    <t>MT-01</t>
  </si>
  <si>
    <t>手段</t>
  </si>
  <si>
    <t>《少量食物》</t>
  </si>
  <si>
    <t>S03进入赈济点</t>
  </si>
  <si>
    <t>使用后消耗</t>
  </si>
  <si>
    <t>无角色拒绝食物本身</t>
  </si>
  <si>
    <t>救少数人／参与神迹包装</t>
  </si>
  <si>
    <t>有限资源制造真实取舍</t>
  </si>
  <si>
    <t>S03消耗</t>
  </si>
  <si>
    <t>MT-02</t>
  </si>
  <si>
    <t>《藏粮消息》</t>
  </si>
  <si>
    <t>S03观察或老乞丐提示</t>
  </si>
  <si>
    <t>可与身份组合成为‘预言’</t>
  </si>
  <si>
    <t>无；但人物承担风险不同</t>
  </si>
  <si>
    <t>开仓／取得接头线索</t>
  </si>
  <si>
    <t>事实可被诚实使用，也可被包装成神谕</t>
  </si>
  <si>
    <t>S03使用</t>
  </si>
  <si>
    <t>MT-03</t>
  </si>
  <si>
    <t>《褪色圣女像》</t>
  </si>
  <si>
    <t>S02纸扎铺</t>
  </si>
  <si>
    <t>与身份卡组合放大认主</t>
  </si>
  <si>
    <t>阿禾与老乞丐拒绝参与造神</t>
  </si>
  <si>
    <t>成为信仰媒介／被收回</t>
  </si>
  <si>
    <t>测试人物主体性</t>
  </si>
  <si>
    <t>MEM-01</t>
  </si>
  <si>
    <t>记忆</t>
  </si>
  <si>
    <t>《金粥赐福》</t>
  </si>
  <si>
    <t>S03空锅触发</t>
  </si>
  <si>
    <t>S04翻面</t>
  </si>
  <si>
    <t>翻为《锅底没有米》</t>
  </si>
  <si>
    <t>先给玩家善意解释，再收回</t>
  </si>
  <si>
    <t>翻面</t>
  </si>
  <si>
    <t>MEM-02</t>
  </si>
  <si>
    <t>《惩戒不敬者》</t>
  </si>
  <si>
    <t>S04触碰朱痕时出现</t>
  </si>
  <si>
    <t>当场翻面</t>
  </si>
  <si>
    <t>翻为《被划掉的一家人》</t>
  </si>
  <si>
    <t>证明主动共犯而非纯傀儡</t>
  </si>
  <si>
    <t>KEY-01</t>
  </si>
  <si>
    <t>关键物</t>
  </si>
  <si>
    <t>《秘密账簿》</t>
  </si>
  <si>
    <t>S05神像腹中</t>
  </si>
  <si>
    <t>阿禾信任过低可拒绝代送</t>
  </si>
  <si>
    <t>阿禾／接头人／自己保留</t>
  </si>
  <si>
    <t>决定罪行是否离开主角控制</t>
  </si>
  <si>
    <t>单一去向</t>
  </si>
  <si>
    <t>KEY-02</t>
  </si>
  <si>
    <t>《裴家密函》</t>
  </si>
  <si>
    <t>公开时可成为圣女叙事工具</t>
  </si>
  <si>
    <t>接头人需暗号</t>
  </si>
  <si>
    <t>接头人／信徒／自己保留</t>
  </si>
  <si>
    <t>真相也可能被用来再次掌权</t>
  </si>
  <si>
    <t>KEY-03</t>
  </si>
  <si>
    <t>《三千两银票》</t>
  </si>
  <si>
    <t>受害者／赈济／带走</t>
  </si>
  <si>
    <t>赃款不能自动购买原谅</t>
  </si>
  <si>
    <t>KEY-04</t>
  </si>
  <si>
    <t>《圣女旧印》</t>
  </si>
  <si>
    <t>佩戴后强化圣女身份</t>
  </si>
  <si>
    <t>阿禾只愿毁掉，不愿替她佩戴</t>
  </si>
  <si>
    <t>毁掉／佩戴／藏起</t>
  </si>
  <si>
    <t>最便利的旧权力入口</t>
  </si>
  <si>
    <t>PR-01</t>
  </si>
  <si>
    <t>剧情道具</t>
  </si>
  <si>
    <t>《刘家旧粮牌》</t>
  </si>
  <si>
    <t>S02-B沈婆取出</t>
  </si>
  <si>
    <t>S03被新救济点管事拒绝</t>
  </si>
  <si>
    <t>不进入组合槽</t>
  </si>
  <si>
    <t>S04指向旧赈籍与除名记录</t>
  </si>
  <si>
    <t>解释为何返回旧救济殿；种下刘家全名</t>
  </si>
  <si>
    <t>叙事道具</t>
  </si>
  <si>
    <t>05｜S05关键物处置与终局行动</t>
  </si>
  <si>
    <t>第一阶段逐一处理账簿、密函、银票与旧印；第二阶段处理魏先追至后的眼前行动。物品去向不会自动等于结局。</t>
  </si>
  <si>
    <t>选项ID</t>
  </si>
  <si>
    <t>去向</t>
  </si>
  <si>
    <t>可用条件</t>
  </si>
  <si>
    <t>叙事结果</t>
  </si>
  <si>
    <t>证据送出</t>
  </si>
  <si>
    <t>证据私藏</t>
  </si>
  <si>
    <t>带走银票</t>
  </si>
  <si>
    <t>K-LDG-AHE</t>
  </si>
  <si>
    <t>秘密账簿</t>
  </si>
  <si>
    <t>交给阿禾</t>
  </si>
  <si>
    <t>信任≥4；或信任1—3且此前S04-A04/S04-B01</t>
  </si>
  <si>
    <t>高信任时协作撤离；中信任时阿禾只带证据离开；低信任拒绝</t>
  </si>
  <si>
    <t>K-LDG-REB</t>
  </si>
  <si>
    <t>交给接头人</t>
  </si>
  <si>
    <t>已通过老乞丐获得完整暗号</t>
  </si>
  <si>
    <t>证据进入结构性行动；主角不自动获得组织接纳</t>
  </si>
  <si>
    <t>K-LDG-PUB</t>
  </si>
  <si>
    <t>阿芸亲自公开</t>
  </si>
  <si>
    <t>已取得账簿</t>
  </si>
  <si>
    <t>证据公开，但解释权仍可能被圣女身份垄断</t>
  </si>
  <si>
    <t>K-LDG-KEEP</t>
  </si>
  <si>
    <t>自行保留</t>
  </si>
  <si>
    <t>继续作为自保、勒索、销毁或逃亡筹码</t>
  </si>
  <si>
    <t>K-LTR-AHE</t>
  </si>
  <si>
    <t>裴家密函</t>
  </si>
  <si>
    <t>阿禾已接受账簿且仍在场</t>
  </si>
  <si>
    <t>把密函解释权也交给直接受害者</t>
  </si>
  <si>
    <t>K-LTR-REB</t>
  </si>
  <si>
    <t>已获得完整暗号</t>
  </si>
  <si>
    <t>揭露裴家关系与殉道计划</t>
  </si>
  <si>
    <t>K-LTR-PUB</t>
  </si>
  <si>
    <t>已解锁圣女身份</t>
  </si>
  <si>
    <t>真相公开，但公开方式可能再次造神</t>
  </si>
  <si>
    <t>K-LTR-KEEP</t>
  </si>
  <si>
    <t>保留自保筹码，不让真相抵达他人</t>
  </si>
  <si>
    <t>K-SLV-VIC</t>
  </si>
  <si>
    <t>三千两银票</t>
  </si>
  <si>
    <t>归还阿禾及受害者</t>
  </si>
  <si>
    <t>迟到补偿，不兑换宽恕</t>
  </si>
  <si>
    <t>K-SLV-REL</t>
  </si>
  <si>
    <t>用于赈济灾民</t>
  </si>
  <si>
    <t>救助人数更多，但公开行动增加追捕</t>
  </si>
  <si>
    <t>K-SLV-TAKE</t>
  </si>
  <si>
    <t>带走</t>
  </si>
  <si>
    <t>把赃款重新解释成活命盘缠</t>
  </si>
  <si>
    <t>K-SEAL-DEST</t>
  </si>
  <si>
    <t>圣女旧印</t>
  </si>
  <si>
    <t>交给阿禾毁掉</t>
  </si>
  <si>
    <t>阿禾仍在场</t>
  </si>
  <si>
    <t>主动关闭最便利的旧权力入口</t>
  </si>
  <si>
    <t>K-SEAL-WEAR</t>
  </si>
  <si>
    <t>重新佩戴</t>
  </si>
  <si>
    <t>重新坐回信众、神谕与解释权中央</t>
  </si>
  <si>
    <t>K-SEAL-HIDE</t>
  </si>
  <si>
    <t>藏起保留</t>
  </si>
  <si>
    <t>暂时不用，但保留随时返回的可能</t>
  </si>
  <si>
    <t>终局行动（与物品处置叠加）</t>
  </si>
  <si>
    <t>行动ID</t>
  </si>
  <si>
    <t>行动</t>
  </si>
  <si>
    <t>性质</t>
  </si>
  <si>
    <t>结果与显示条件</t>
  </si>
  <si>
    <t>备注</t>
  </si>
  <si>
    <t>让阿禾或接头人带证据先走，自己留下拖延</t>
  </si>
  <si>
    <t>证据已交付；中信任阿禾路线必被魏先截停</t>
  </si>
  <si>
    <t>追捕达到阈值时《证人之死》</t>
  </si>
  <si>
    <t>经验证暗号后从旧地道撤离</t>
  </si>
  <si>
    <t>完整接头线索；或高信任阿禾共享撤离路线</t>
  </si>
  <si>
    <t>满足承担条件时《继续前行》</t>
  </si>
  <si>
    <t>佩印，以神谕宣布魏先背叛神意</t>
  </si>
  <si>
    <t>必须已佩戴旧印</t>
  </si>
  <si>
    <t>依赖高时《第二位圣女》；追捕极高时《最后一次神迹》</t>
  </si>
  <si>
    <t>携带仍在自己手中的银票或证据独自逃亡</t>
  </si>
  <si>
    <t>未再次牺牲阿禾</t>
  </si>
  <si>
    <t>对白表现为‘以后还能补救’式自我辩解</t>
  </si>
  <si>
    <t>让阿禾携带空包或假证据引开追兵</t>
  </si>
  <si>
    <t>仅在弃责状态、低信任、真实证据仍由阿芸控制时显示</t>
  </si>
  <si>
    <t>触发《审判》；真实账簿已交阿禾时互斥</t>
  </si>
  <si>
    <t>06｜结局判定顺序与阈值</t>
  </si>
  <si>
    <t>先处理过程死亡与再次背叛，再处理身份复归与承担。阿禾信任决定证据是否被接受和撤离权限，不能单独替代最终判定。</t>
  </si>
  <si>
    <t>优先级</t>
  </si>
  <si>
    <t>结局</t>
  </si>
  <si>
    <t>精确条件</t>
  </si>
  <si>
    <t>叙事解释</t>
  </si>
  <si>
    <t>判词</t>
  </si>
  <si>
    <t>类型</t>
  </si>
  <si>
    <t>已实现</t>
  </si>
  <si>
    <t>《无名尸体》</t>
  </si>
  <si>
    <t>无名失败标记=1</t>
  </si>
  <si>
    <t>S03身份确认前的直接失败</t>
  </si>
  <si>
    <t>她直到最后，也不知道别人为什么恨她。</t>
  </si>
  <si>
    <t>过程死亡</t>
  </si>
  <si>
    <t>是</t>
  </si>
  <si>
    <t>不进入后半段</t>
  </si>
  <si>
    <t>《证人之死》</t>
  </si>
  <si>
    <t>保护行动=1；且中信任截停或追捕压力≥6</t>
  </si>
  <si>
    <t>阿芸留下确保阿禾／接头人与证据离开</t>
  </si>
  <si>
    <t>她无法用死亡偿清旧债，但证据越过了她的尸体。</t>
  </si>
  <si>
    <t>优先于继续前行</t>
  </si>
  <si>
    <t>《最后一次神迹》</t>
  </si>
  <si>
    <t>圣女行动=1；追捕压力≥8</t>
  </si>
  <si>
    <t>聚众失控，死亡再次被包装为殉道</t>
  </si>
  <si>
    <t>她终于说出了真话。可锣鼓太响，没有人听见。</t>
  </si>
  <si>
    <t>优先于第二位圣女</t>
  </si>
  <si>
    <t>《审判》</t>
  </si>
  <si>
    <t>逃跑行动=1；信任≤-3；弃责状态=是；私藏证据≥2；带走银票=1；再次背叛=1</t>
  </si>
  <si>
    <t>阿芸已放弃赎罪，并再次把阿禾作为错误目标</t>
  </si>
  <si>
    <t>她曾经让别人替自己去死。这一次，阿禾没有再替她走。</t>
  </si>
  <si>
    <t>关系结局</t>
  </si>
  <si>
    <t>真实账簿已交阿禾时不可触发</t>
  </si>
  <si>
    <t>《第二位圣女》</t>
  </si>
  <si>
    <t>圣女行动=1；依赖≥5；重新佩印=1；追捕&lt;8</t>
  </si>
  <si>
    <t>救人或公开真相，却重新控制信众与解释权</t>
  </si>
  <si>
    <t>第一位圣女死在河里。第二位圣女从她的尸体里站了起来。</t>
  </si>
  <si>
    <t>身份结局</t>
  </si>
  <si>
    <t>交出部分证据也不能自动避免</t>
  </si>
  <si>
    <t>《继续前行》</t>
  </si>
  <si>
    <t>承担≥7；证据送出≥1；未带走银票；依赖≤4；且高信任协作或地道行动成立</t>
  </si>
  <si>
    <t>没有宽恕与领袖奖励，只开始承担</t>
  </si>
  <si>
    <t>她没有洗清自己的名字。她只是终于不再擦掉别人的名字。</t>
  </si>
  <si>
    <t>承担结局</t>
  </si>
  <si>
    <t>高信任同行版／接头人独行版</t>
  </si>
  <si>
    <t>《逃避》</t>
  </si>
  <si>
    <t>以上均未命中；通常为自行保留、携款或ACT-ESCAPE</t>
  </si>
  <si>
    <t>做过局部正确选择，仍用‘以后补救’回避当下责任</t>
  </si>
  <si>
    <t>无知曾经替她遮住脸。现在，她只能自己蒙上眼睛。</t>
  </si>
  <si>
    <t>兜底结局</t>
  </si>
  <si>
    <t>与《审判》的区别是没有主动牺牲阿禾</t>
  </si>
  <si>
    <t>问题</t>
  </si>
  <si>
    <t>回答</t>
  </si>
  <si>
    <t>为什么高信任不是自动OE？</t>
  </si>
  <si>
    <t>高信任只解锁协作撤离；仍需交出证据、拒绝携款与旧印，并达到承担阈值。</t>
  </si>
  <si>
    <t>为什么中信任会遭遇魏先？</t>
  </si>
  <si>
    <t>魏先始终在追捕；中信任时阿禾只带证据离开、不共享撤离路线，阿芸被留在原地截住。</t>
  </si>
  <si>
    <t>为什么逃避需要精细对白？</t>
  </si>
  <si>
    <t>她应以‘活着才能以后补救’自我辩解，而不是突然宣告自己不想赎罪。</t>
  </si>
  <si>
    <t>为什么审判需要弃责前情？</t>
  </si>
  <si>
    <t>只有在私藏证据、携款、低承担并主动再次利用阿禾时才显示背叛选项。</t>
  </si>
  <si>
    <t>07｜数值与判定标记索引（唯一数据源）</t>
  </si>
  <si>
    <t>黄色列可修改。其他工作表通过公式读取本表；修改后请到08可达路径测试确认所有结局仍可到达。</t>
  </si>
  <si>
    <t>事件ID</t>
  </si>
  <si>
    <t>重新佩印</t>
  </si>
  <si>
    <t>再次背叛</t>
  </si>
  <si>
    <t>保护行动</t>
  </si>
  <si>
    <t>地道行动</t>
  </si>
  <si>
    <t>圣女行动</t>
  </si>
  <si>
    <t>逃跑行动</t>
  </si>
  <si>
    <t>无名失败</t>
  </si>
  <si>
    <t>说明</t>
  </si>
  <si>
    <t>SYS-START</t>
  </si>
  <si>
    <t>系统</t>
  </si>
  <si>
    <t>初始值</t>
  </si>
  <si>
    <t>阿禾因救人而保留最低限度善意；追兵已在沿河搜索</t>
  </si>
  <si>
    <t>SYS-WEI</t>
  </si>
  <si>
    <t>S04→S05</t>
  </si>
  <si>
    <t>固定推进</t>
  </si>
  <si>
    <t>魏先进入县城，所有路线固定增加一次追捕压力</t>
  </si>
  <si>
    <t>对话</t>
  </si>
  <si>
    <t>坦白不知道来历，也不想连累阿禾</t>
  </si>
  <si>
    <t>否认追兵存在；阿禾暗中观察</t>
  </si>
  <si>
    <t>试探阿禾会不会交人</t>
  </si>
  <si>
    <t>身份态度</t>
  </si>
  <si>
    <t>要求沈婆起身并否认身份</t>
  </si>
  <si>
    <t>追问旧法会，保留判断</t>
  </si>
  <si>
    <t>默认跪拜换取帮助；消息开始外泄</t>
  </si>
  <si>
    <t>阿禾带人找到后院藏粮，粮商记住她的脸</t>
  </si>
  <si>
    <t>阿芸把真实消息说成预言；阿禾只负责开门，不肯替她作证</t>
  </si>
  <si>
    <t>沈婆以纸扎铺老板身份作证，众人逼粮商解释</t>
  </si>
  <si>
    <t>阿芸将准确情报包装成神谕，逼粮商开仓；救人最多、暴露也最大</t>
  </si>
  <si>
    <t>他趁乱开后门放粮，主角没有暴露，也得到接头线索</t>
  </si>
  <si>
    <t>他把真消息悄悄递给阿芸，看她如何把事实变成神谕</t>
  </si>
  <si>
    <t>FAIL-S03-01</t>
  </si>
  <si>
    <t>过程失败</t>
  </si>
  <si>
    <t>连续失误且未离开骚乱现场，追兵在身份确认前杀死阿芸</t>
  </si>
  <si>
    <t>第一次回应</t>
  </si>
  <si>
    <t>谎称是废名单</t>
  </si>
  <si>
    <t>只承认与万清教有关</t>
  </si>
  <si>
    <t>告诉阿禾名单上有她的名字</t>
  </si>
  <si>
    <t>沉默并交出名单</t>
  </si>
  <si>
    <t>罪责回应</t>
  </si>
  <si>
    <t>完整承认由自己提出并下令划名</t>
  </si>
  <si>
    <t>承认说过，但强调自己不知道会死人</t>
  </si>
  <si>
    <t>用失忆切割过去与现在</t>
  </si>
  <si>
    <t>要求阿禾杀死自己；把承担转嫁给阿禾</t>
  </si>
  <si>
    <t>物品处置</t>
  </si>
  <si>
    <t>罪行离开主角控制，由受害者决定如何使用</t>
  </si>
  <si>
    <t>罪证进入结构性行动；主角不自动加入义军</t>
  </si>
  <si>
    <t>保留勒索、自保和销毁的可能</t>
  </si>
  <si>
    <t>揭露殉道计划与裴家关系</t>
  </si>
  <si>
    <t>真相公开，但解释权仍集中在圣女口中</t>
  </si>
  <si>
    <t>赃款成为迟到的补偿，但不兑换宽恕</t>
  </si>
  <si>
    <t>救助人数多，但公开行动提高追捕压力</t>
  </si>
  <si>
    <t>将赃款再次变成逃亡资本</t>
  </si>
  <si>
    <t>调动信众并重新坐回丝线中央</t>
  </si>
  <si>
    <t>没有立刻使用，却保留随时返回的可能</t>
  </si>
  <si>
    <t>终局行动</t>
  </si>
  <si>
    <t>让阿禾带证据先走，阿芸留下拖住追兵</t>
  </si>
  <si>
    <t>按暗号转交证据，从旧地道撤离</t>
  </si>
  <si>
    <t>佩印并以神谕宣布魏先背叛神意</t>
  </si>
  <si>
    <t>藏证携银独自逃亡，但没有再次利用阿禾</t>
  </si>
  <si>
    <t>谎称证据已送出，让阿禾拿空包引开追兵</t>
  </si>
  <si>
    <t>阿芸亲自公开账簿；证据公开，但解释权仍集中在她口中</t>
  </si>
  <si>
    <t>在阿禾已接受账簿的前提下，将密函也交由她决定</t>
  </si>
  <si>
    <t>SYS-WEI-MID</t>
  </si>
  <si>
    <t>阿禾中信任时只带证据离开，不共享撤离路线；魏先在阿芸离开前截住她</t>
  </si>
  <si>
    <t>08｜结局可达路径与合法性自动测试</t>
  </si>
  <si>
    <t>总测试=结局匹配＋事件ID完整＋逐步前置合法。修改07数值索引后，需同时确认AF、AI、AJ和AK列。</t>
  </si>
  <si>
    <t>路线ID</t>
  </si>
  <si>
    <t>路线名称</t>
  </si>
  <si>
    <t>步骤1</t>
  </si>
  <si>
    <t>步骤2</t>
  </si>
  <si>
    <t>步骤3</t>
  </si>
  <si>
    <t>步骤4</t>
  </si>
  <si>
    <t>步骤5</t>
  </si>
  <si>
    <t>步骤6</t>
  </si>
  <si>
    <t>步骤7</t>
  </si>
  <si>
    <t>步骤8</t>
  </si>
  <si>
    <t>步骤9</t>
  </si>
  <si>
    <t>步骤10</t>
  </si>
  <si>
    <t>步骤11</t>
  </si>
  <si>
    <t>步骤12</t>
  </si>
  <si>
    <t>保护</t>
  </si>
  <si>
    <t>地道</t>
  </si>
  <si>
    <t>圣女</t>
  </si>
  <si>
    <t>逃跑</t>
  </si>
  <si>
    <t>实际结局</t>
  </si>
  <si>
    <t>预期结局</t>
  </si>
  <si>
    <t>结局测试</t>
  </si>
  <si>
    <t>设计说明</t>
  </si>
  <si>
    <t>弃责状态</t>
  </si>
  <si>
    <t>ID完整性</t>
  </si>
  <si>
    <t>前置合法性</t>
  </si>
  <si>
    <t>总测试</t>
  </si>
  <si>
    <t>R01</t>
  </si>
  <si>
    <t>继续前行—阿禾高信任同行</t>
  </si>
  <si>
    <t>高信任解锁协作；低暴露使保护行动不致死</t>
  </si>
  <si>
    <t>R02</t>
  </si>
  <si>
    <t>继续前行—接头人独行</t>
  </si>
  <si>
    <t>仓单与暗号验证渠道；不依赖阿禾原谅</t>
  </si>
  <si>
    <t>R03</t>
  </si>
  <si>
    <t>第二位圣女—阿禾中信任离开</t>
  </si>
  <si>
    <t>阿禾带账簿离开；阿芸用剩余密函与旧印重新掌权</t>
  </si>
  <si>
    <t>R04</t>
  </si>
  <si>
    <t>逃避—自行保留并携款</t>
  </si>
  <si>
    <t>只顾自己逃亡，但没有主动牺牲阿禾</t>
  </si>
  <si>
    <t>R05</t>
  </si>
  <si>
    <t>审判—弃责后空包背叛</t>
  </si>
  <si>
    <t>弃责状态成立后才显示再次利用阿禾</t>
  </si>
  <si>
    <t>R06</t>
  </si>
  <si>
    <t>证人之死—阿禾中信任</t>
  </si>
  <si>
    <t>阿禾只带证据撤离；阿芸被截住后留下拖延</t>
  </si>
  <si>
    <t>R07</t>
  </si>
  <si>
    <t>最后一次神迹—亲自公开</t>
  </si>
  <si>
    <t>公开聚众与追捕叠加超过控制能力</t>
  </si>
  <si>
    <t>R08</t>
  </si>
  <si>
    <t>无名尸体—身份确认前失败</t>
  </si>
  <si>
    <t/>
  </si>
  <si>
    <t>后续步骤留空；不再使用无效占位ID</t>
  </si>
  <si>
    <t>R09</t>
  </si>
  <si>
    <t>逃避—已交账簿仍携款</t>
  </si>
  <si>
    <t>做过一件正确的事，仍带走银票与剩余筹码</t>
  </si>
  <si>
    <t>R10</t>
  </si>
  <si>
    <t>第二位圣女—低压公开</t>
  </si>
  <si>
    <t>亲自公开账簿并佩印，但追捕未达到死亡线</t>
  </si>
  <si>
    <t>R11</t>
  </si>
  <si>
    <t>证人之死—接头人交接</t>
  </si>
  <si>
    <t>确保接头人带证据离开后留下拖延</t>
  </si>
  <si>
    <t>08A｜逐步前置合法性检查</t>
  </si>
  <si>
    <t>每一步先计算执行前状态，再检查接头暗号、阿禾接受条件、佩印和弃责条件。结局数值正确但前置失败时，总测试仍为CHECK。</t>
  </si>
  <si>
    <t>步骤</t>
  </si>
  <si>
    <t>事件说明</t>
  </si>
  <si>
    <t>前承担</t>
  </si>
  <si>
    <t>前依赖</t>
  </si>
  <si>
    <t>前信任</t>
  </si>
  <si>
    <t>前追捕</t>
  </si>
  <si>
    <t>前接头线索</t>
  </si>
  <si>
    <t>前证据送出</t>
  </si>
  <si>
    <t>前证据私藏</t>
  </si>
  <si>
    <t>前带走银票</t>
  </si>
  <si>
    <t>前置条件</t>
  </si>
  <si>
    <t>合法性</t>
  </si>
  <si>
    <t>Δ承担</t>
  </si>
  <si>
    <t>Δ依赖</t>
  </si>
  <si>
    <t>Δ信任</t>
  </si>
  <si>
    <t>Δ追捕</t>
  </si>
  <si>
    <t>Δ接头</t>
  </si>
  <si>
    <t>Δ送出</t>
  </si>
  <si>
    <t>Δ私藏</t>
  </si>
  <si>
    <t>Δ银票</t>
  </si>
  <si>
    <t>前置总检</t>
  </si>
  <si>
    <t>无额外前置</t>
  </si>
  <si>
    <t>前信任≥4；或1—3且此前交出名单/完整承认</t>
  </si>
  <si>
    <t>此前阿禾已经接受真实账簿</t>
  </si>
  <si>
    <t>此前必须获得完整接头暗号</t>
  </si>
  <si>
    <t>此前已经重新佩戴圣女旧印</t>
  </si>
  <si>
    <t>前承担≤0、信任≤-3、私藏≥2、携款且未真实交付账簿</t>
  </si>
  <si>
    <t>00A｜六场主线剧情节拍</t>
  </si>
  <si>
    <t>六个主场景、八个子场景。每场必须有进入因果、玩家目标、可操作冲突、信息揭示、关系变化和明确出口。</t>
  </si>
  <si>
    <t>编号</t>
  </si>
  <si>
    <t>进入原因</t>
  </si>
  <si>
    <t>玩家当前目标</t>
  </si>
  <si>
    <t>主要阻碍</t>
  </si>
  <si>
    <t>可玩内容／系统</t>
  </si>
  <si>
    <t>关键揭示</t>
  </si>
  <si>
    <t>阿禾关系变化</t>
  </si>
  <si>
    <t>出口钩子</t>
  </si>
  <si>
    <t>制作优先级</t>
  </si>
  <si>
    <t>阿芸携藏物逃亡时坠河，被阿禾与老乞丐发现</t>
  </si>
  <si>
    <t>活下来并判断两人是否危险</t>
  </si>
  <si>
    <t>失忆、溺水、追兵未知</t>
  </si>
  <si>
    <t>观察／有限回应／接受救助</t>
  </si>
  <si>
    <t>身体存在训练痕迹；老乞丐与阿禾并非刚认识</t>
  </si>
  <si>
    <t>阿禾因坚持救人保留最低善意</t>
  </si>
  <si>
    <t>转移至破祠堂</t>
  </si>
  <si>
    <t>原型必做</t>
  </si>
  <si>
    <t>三人需要避雨、处理伤口并躲避河岸搜查</t>
  </si>
  <si>
    <t>回答追兵问题，决定是否有限坦白</t>
  </si>
  <si>
    <t>无法解释身份；锣鼓和搜查逼近</t>
  </si>
  <si>
    <t>S01-O01～03；听声判断搜查距离</t>
  </si>
  <si>
    <t>阿芸极擅长呼吸、停顿和察言观色</t>
  </si>
  <si>
    <t>信任上升／下降／保持观察</t>
  </si>
  <si>
    <t>为了食物与遮蔽进城</t>
  </si>
  <si>
    <t>阿禾本想前往救济点并去纸扎铺换旧衣与食物</t>
  </si>
  <si>
    <t>找到当天救济地点</t>
  </si>
  <si>
    <t>救济临时改址；通知未到偏巷；时间紧迫</t>
  </si>
  <si>
    <t>查看改址告示；旧粮牌被拒；发现接头记号</t>
  </si>
  <si>
    <t>救济与赐福供奉相连；阿芸觉得县城本应富庶</t>
  </si>
  <si>
    <t>阿禾开始怀疑阿芸熟悉此地</t>
  </si>
  <si>
    <t>老乞丐先去新点，阿禾带阿芸通知沈婆</t>
  </si>
  <si>
    <t>沈婆住得偏远且持有可交换物资，尚不知道改址</t>
  </si>
  <si>
    <t>通知沈婆并取得衣物／粮牌</t>
  </si>
  <si>
    <t>沈婆突然跪拜认主</t>
  </si>
  <si>
    <t>S02-O01～03；查看褪色圣女像；获得刘家旧粮牌</t>
  </si>
  <si>
    <t>阿芸与圣女画像相似；‘刘家禾’全名被种下</t>
  </si>
  <si>
    <t>阿禾首次明确警惕圣女身份</t>
  </si>
  <si>
    <t>赶往新救济点会合</t>
  </si>
  <si>
    <t>三人会合；救济锅无粮、后院却有藏粮</t>
  </si>
  <si>
    <t>在不扩大伤亡的情况下让粮食真正抵达人群</t>
  </si>
  <si>
    <t>资源不足、粮商阻拦、信众等待神迹</t>
  </si>
  <si>
    <t>人物×手段×身份18种组合；拒绝后重选</t>
  </si>
  <si>
    <t>事实可以诚实使用，也能被包装成神谕；封签记号验证接头渠道</t>
  </si>
  <si>
    <t>根据是否造神改变信任</t>
  </si>
  <si>
    <t>旧粮牌被拒，旧赈籍仍封存在旧救济殿</t>
  </si>
  <si>
    <t>阿禾要查除名真相；阿芸认出旧粮牌朱记与后室机关</t>
  </si>
  <si>
    <t>找到刘家旧赈籍</t>
  </si>
  <si>
    <t>封门、旧机关、魏先逼近；情感上不愿面对名单</t>
  </si>
  <si>
    <t>利用旧粮牌／身体记忆进入；名单翻面；S04-A/B回应</t>
  </si>
  <si>
    <t>阿芸主动提出除名并藏匿罪证；失忆不能免责</t>
  </si>
  <si>
    <t>信任从生活层面转为伦理判断</t>
  </si>
  <si>
    <t>记忆指向旧祈福台藏物</t>
  </si>
  <si>
    <t>总纲必做，原型可后置</t>
  </si>
  <si>
    <t>阿芸恢复藏物位置；必须在魏先到达前取回四件旧物</t>
  </si>
  <si>
    <t>取证并决定让证据、赃款和旧印去向何处</t>
  </si>
  <si>
    <t>三步环境机关；阿禾信任决定协作；魏先包围</t>
  </si>
  <si>
    <t>机关热点；逐件处置；阿禾／接头人／公开／保留；最终行动</t>
  </si>
  <si>
    <t>老乞丐只验证渠道；阿禾高信任协作、中信任带证离开、低信任拒绝</t>
  </si>
  <si>
    <t>关系结果直接改变撤离权限</t>
  </si>
  <si>
    <t>按优先级自动进入结局</t>
  </si>
  <si>
    <t>总纲与测试必做</t>
  </si>
  <si>
    <t>系统读取证据去向、四变量、卡牌和终局行动</t>
  </si>
  <si>
    <t>理解此前选择为何形成这一结果</t>
  </si>
  <si>
    <t>玩家不能回到‘结局按钮’重新选善恶</t>
  </si>
  <si>
    <t>演出继续前行／死亡／身份复归／逃避／审判</t>
  </si>
  <si>
    <t>赎罪不是被原谅；交出一件证据也不能自动洗白</t>
  </si>
  <si>
    <t>同行、分离、拒绝或审判</t>
  </si>
  <si>
    <t>Demo结束</t>
  </si>
  <si>
    <t>结局演出必做</t>
  </si>
  <si>
    <t>05A｜证据去向—阿禾信任—终局行动分流</t>
  </si>
  <si>
    <t>终局分两阶段：先决定证据由谁控制，再决定魏先追至时阿芸怎么行动。信任决定接受与撤离权限，不直接替代结局判定。</t>
  </si>
  <si>
    <t>第一阶段证据路线</t>
  </si>
  <si>
    <t>成立条件</t>
  </si>
  <si>
    <t>控制权变化</t>
  </si>
  <si>
    <t>可用终局行动</t>
  </si>
  <si>
    <t>主要可能结局</t>
  </si>
  <si>
    <t>明确不可触发</t>
  </si>
  <si>
    <t>核心主题</t>
  </si>
  <si>
    <t>实现备注</t>
  </si>
  <si>
    <t>高信任直接接受；中信任需交出名单或完整承认；低信任拒绝</t>
  </si>
  <si>
    <t>证据归直接受害者决定</t>
  </si>
  <si>
    <t>高信任：地道／保护；中信任：保护／圣女／逃跑</t>
  </si>
  <si>
    <t>《继续前行》《证人之死》《第二位圣女》《最后一次神迹》《逃避》</t>
  </si>
  <si>
    <t>真实账簿已交付后不能《审判》</t>
  </si>
  <si>
    <t>交还解释权，不等于获得宽恕</t>
  </si>
  <si>
    <t>账簿和密函可分别处理</t>
  </si>
  <si>
    <t>完整暗号＋半张仓单验证；不能只凭老乞丐一句担保</t>
  </si>
  <si>
    <t>证据进入城外转运网络</t>
  </si>
  <si>
    <t>地道／保护／必要时逃跑</t>
  </si>
  <si>
    <t>《继续前行》《证人之死》《逃避》</t>
  </si>
  <si>
    <t>未验证渠道时不可选择</t>
  </si>
  <si>
    <t>承担结构性风险，不自动获得组织接纳</t>
  </si>
  <si>
    <t>老乞丐是桥梁，不是义军核心</t>
  </si>
  <si>
    <t>已取得账簿／密函；公开方式由身份卡决定</t>
  </si>
  <si>
    <t>证据公开，但解释权仍可能集中在阿芸</t>
  </si>
  <si>
    <t>无名身份陈述／圣女神谕／保护</t>
  </si>
  <si>
    <t>主要为《第二位圣女》《最后一次神迹》；极严条件可继续前行</t>
  </si>
  <si>
    <t>不能因为公开就自动算承担</t>
  </si>
  <si>
    <t>真相也可以成为重新掌权的工具</t>
  </si>
  <si>
    <t>优先用圣女相关结局表现</t>
  </si>
  <si>
    <t>阿芸自行保留</t>
  </si>
  <si>
    <t>证据未交付；可私藏、作为筹码或销毁</t>
  </si>
  <si>
    <t>控制权继续留在阿芸</t>
  </si>
  <si>
    <t>独自逃跑；弃责后再次利用阿禾</t>
  </si>
  <si>
    <t>《逃避》《审判》</t>
  </si>
  <si>
    <t>通常不能积极OE</t>
  </si>
  <si>
    <t>‘以后补救’式自欺与主动重演旧罪的区别</t>
  </si>
  <si>
    <t>销毁可作为逃避的深色演出变体</t>
  </si>
  <si>
    <t>阿禾接受账簿后的信任分流</t>
  </si>
  <si>
    <t>信任层级</t>
  </si>
  <si>
    <t>暂定阈值</t>
  </si>
  <si>
    <t>是否接受</t>
  </si>
  <si>
    <t>撤离权限</t>
  </si>
  <si>
    <t>后续结构</t>
  </si>
  <si>
    <t>注意</t>
  </si>
  <si>
    <t>高信任</t>
  </si>
  <si>
    <t>≥4</t>
  </si>
  <si>
    <t>接受，但明确不等于原谅</t>
  </si>
  <si>
    <t>允许阿芸参与老乞丐验证的撤离</t>
  </si>
  <si>
    <t>满足承担与物品条件可进入积极OE</t>
  </si>
  <si>
    <t>高信任只解锁，不自动授予结局</t>
  </si>
  <si>
    <t>中信任</t>
  </si>
  <si>
    <t>1～3且此前A04/B01</t>
  </si>
  <si>
    <t>接受，因为不能让证据回到阿芸手中</t>
  </si>
  <si>
    <t>阿禾与老乞丐先走，不共享路线</t>
  </si>
  <si>
    <t>阿芸被魏先截停；按保护／佩印／逃跑分流</t>
  </si>
  <si>
    <t>魏先始终在追捕，不是信任制造追捕</t>
  </si>
  <si>
    <t>低信任</t>
  </si>
  <si>
    <t>≤0</t>
  </si>
  <si>
    <t>拒绝，人物卡弹回</t>
  </si>
  <si>
    <t>不提供任何撤离协作</t>
  </si>
  <si>
    <t>改选接头人／自行保留；弃责后可出现背叛</t>
  </si>
  <si>
    <t>低信任本身不能自动触发审判</t>
  </si>
  <si>
    <t>最终决定</t>
  </si>
  <si>
    <t>落实位置</t>
  </si>
  <si>
    <t>状态</t>
  </si>
  <si>
    <t>阿禾应有全名‘刘家禾’，便于名单识别</t>
  </si>
  <si>
    <t>S02-B通过旧粮牌或他人称呼种下全名；S04名单列出刘氏一家与除名原因</t>
  </si>
  <si>
    <t>01知识状态／00A节拍／04生命周期</t>
  </si>
  <si>
    <t>已纳入</t>
  </si>
  <si>
    <t>补充进城、旧救济殿与纸扎铺场景</t>
  </si>
  <si>
    <t>采用S01-A/B、S02-A/B子场景，保留S03卡牌和S04/S05规则编号</t>
  </si>
  <si>
    <t>01知识状态／00A节拍</t>
  </si>
  <si>
    <t>解释为何去纸扎铺</t>
  </si>
  <si>
    <t>改址通知未到偏巷；阿禾本就要换旧衣和食物并通知沈婆；老乞丐先去新救济点</t>
  </si>
  <si>
    <t>00A节拍S02</t>
  </si>
  <si>
    <t>解释为何再回旧救济殿</t>
  </si>
  <si>
    <t>沈婆给出刘家旧粮牌；新救济点拒绝并指出旧赈籍封存在旧殿；阿禾查家人、阿芸查朱记记忆</t>
  </si>
  <si>
    <t>00A节拍S03→S04</t>
  </si>
  <si>
    <t>保留三个中段互动</t>
  </si>
  <si>
    <t>改址告示压旧供奉告示／旧粮牌被拒／褪色圣女像仍被买卖；每个互动必须提供信息或伏笔</t>
  </si>
  <si>
    <t>00A节拍／01知识状态</t>
  </si>
  <si>
    <t>S04—S05增加危机与密室解谜</t>
  </si>
  <si>
    <t>S04保留安静的真相对峙；S05旧祈福台设置单个三步环境机关，失败增加追捕或损失补充线索，不硬卡死</t>
  </si>
  <si>
    <t>00A节拍S04-S05</t>
  </si>
  <si>
    <t>补充接头人伏笔与信任逻辑</t>
  </si>
  <si>
    <t>告示记号→藏粮封签→老乞丐半张仓单和暗号→接头人对缝验证；只证明渠道，不证明人格</t>
  </si>
  <si>
    <t>03组合／04生命周期／08A合法性</t>
  </si>
  <si>
    <t>让老乞丐作为中间桥梁</t>
  </si>
  <si>
    <t>他是旧救济殿外围杂役／底层信息者，曾向转运网递消息；与阿禾已相互照应一段时间，不扩写义军核心身份</t>
  </si>
  <si>
    <t>01知识状态／04生命周期</t>
  </si>
  <si>
    <t>交给阿禾后根据信任分流</t>
  </si>
  <si>
    <t>高信任协作撤离；中信任只带证据离开；低信任拒绝；其余变量与终局行动继续参与</t>
  </si>
  <si>
    <t>05A终局分流／06结局</t>
  </si>
  <si>
    <t>中信任后魏先追至</t>
  </si>
  <si>
    <t>魏先始终追捕；中信任导致阿禾不共享撤离路线，阿芸因此在离开前被截住</t>
  </si>
  <si>
    <t>05A终局分流／SYS-WEI-MID</t>
  </si>
  <si>
    <t>终局除阿禾、接头人外，还应有阿芸自己处置</t>
  </si>
  <si>
    <t>四条路线：阿禾／接头人／亲自公开／自行保留；不是每条都能触发全部结局</t>
  </si>
  <si>
    <t>05物品处置／05A分流</t>
  </si>
  <si>
    <t>独自逃亡的对白需要认真设计</t>
  </si>
  <si>
    <t>不写成突然拒绝赎罪；按‘证据已送出→银票只是盘缠→活着以后还能补救’逐层自我辩解</t>
  </si>
  <si>
    <t>09对白任务</t>
  </si>
  <si>
    <t>待补充</t>
  </si>
  <si>
    <t>《审判》需要女主只想逃命、不想赎罪的前情</t>
  </si>
  <si>
    <t>弃责状态由低承担＋私藏≥2＋携款推导；只有再选择主动利用阿禾才触发审判</t>
  </si>
  <si>
    <t>06结局／08测试／09对白任务</t>
  </si>
  <si>
    <t>看不出完整起承转合</t>
  </si>
  <si>
    <t>新增主线剧情节拍表，将规则表与正式剧本连接</t>
  </si>
  <si>
    <t>已解决</t>
  </si>
  <si>
    <t>对白由用户主笔，助手辅助修改</t>
  </si>
  <si>
    <t>助手检查人物口吻、信息边界、变量一致、节奏与伏笔；除非明确要求，不代写整段正式对白</t>
  </si>
  <si>
    <t>09对白任务／00说明</t>
  </si>
  <si>
    <t>09｜正式对白主笔任务与修改边界</t>
  </si>
  <si>
    <t>用户负责正式对白初稿；助手只检查口吻、信息边界、选项差异、变量后果和节奏。此表不提供可直接替代用户创作的完整台词。</t>
  </si>
  <si>
    <t>场景</t>
  </si>
  <si>
    <t>对白段落</t>
  </si>
  <si>
    <t>剧情功能</t>
  </si>
  <si>
    <t>角色当前知道什么</t>
  </si>
  <si>
    <t>必须体现</t>
  </si>
  <si>
    <t>注意边界</t>
  </si>
  <si>
    <t>D01</t>
  </si>
  <si>
    <t>阿禾询问追兵是否在找阿芸</t>
  </si>
  <si>
    <t>建立有限坦白／否认／试探三种人格动作</t>
  </si>
  <si>
    <t>阿芸不知道身份；阿禾只看到搜查</t>
  </si>
  <si>
    <t>三种选项不能只是同义改写</t>
  </si>
  <si>
    <t>阿芸突然知道魏先、圣女或证据</t>
  </si>
  <si>
    <t>D02</t>
  </si>
  <si>
    <t>旧救济殿改址与旧粮牌被拒</t>
  </si>
  <si>
    <t>用普通人日常展示制度性排除</t>
  </si>
  <si>
    <t>阿芸只产生熟悉感；阿禾知道沈婆住偏</t>
  </si>
  <si>
    <t>告示、粮牌、供奉之间的因果</t>
  </si>
  <si>
    <t>大段百科式朝代介绍</t>
  </si>
  <si>
    <t>D03</t>
  </si>
  <si>
    <t>沈婆认主与阿禾全名种下</t>
  </si>
  <si>
    <t>建立身份震动并给出返回旧殿的道具</t>
  </si>
  <si>
    <t>沈婆确认；阿芸怀疑；阿禾尚不知道家人被除名</t>
  </si>
  <si>
    <t>沈婆信仰、阿禾警惕、旧粮牌用途</t>
  </si>
  <si>
    <t>沈婆一次说出全部旧罪</t>
  </si>
  <si>
    <t>D04</t>
  </si>
  <si>
    <t>18种组合的关键／拒绝反馈</t>
  </si>
  <si>
    <t>人物卡表现意志；事实与神谕形成对照</t>
  </si>
  <si>
    <t>各角色只知道眼前缺粮与画像含义</t>
  </si>
  <si>
    <t>拒绝有趣但不惩罚；关键组合有真实代价</t>
  </si>
  <si>
    <t>所有角色无条件听从玩家</t>
  </si>
  <si>
    <t>D05</t>
  </si>
  <si>
    <t>名单揭露与第一次回应</t>
  </si>
  <si>
    <t>让玩家选择交出信息、部分隐瞒或控制叙述</t>
  </si>
  <si>
    <t>阿芸刚恢复划名记忆；阿禾刚确认因果</t>
  </si>
  <si>
    <t>阿禾不替阿芸结束问题；承认不等于原谅</t>
  </si>
  <si>
    <t>阿禾立刻原谅或单纯喊打喊杀</t>
  </si>
  <si>
    <t>D06</t>
  </si>
  <si>
    <t>高信任阿禾接受证据</t>
  </si>
  <si>
    <t>区分接受证据与原谅阿芸</t>
  </si>
  <si>
    <t>阿禾知道完整旧罪和当下表现</t>
  </si>
  <si>
    <t>她允许协作，但保留判断权</t>
  </si>
  <si>
    <t>用一句‘我相信你’抹平冲突</t>
  </si>
  <si>
    <t>D07</t>
  </si>
  <si>
    <t>中信任阿禾只带证据离开</t>
  </si>
  <si>
    <t>解释为何不共享撤离路线</t>
  </si>
  <si>
    <t>阿禾愿意保护证据，不愿再把命交给阿芸</t>
  </si>
  <si>
    <t>冷静边界与未修复关系</t>
  </si>
  <si>
    <t>刻意羞辱阿芸或突然残忍</t>
  </si>
  <si>
    <t>D08</t>
  </si>
  <si>
    <t>独自逃亡前的自我辩解</t>
  </si>
  <si>
    <t>为《逃避》建立渐进心理逻辑</t>
  </si>
  <si>
    <t>阿芸知道至少部分证据可能已送出</t>
  </si>
  <si>
    <t>‘活着才能以后补救’→银票是盘缠→现在先走</t>
  </si>
  <si>
    <t>直接说‘我不赎罪了’或脸谱化贪财</t>
  </si>
  <si>
    <t>D09</t>
  </si>
  <si>
    <t>弃责状态与空包计划</t>
  </si>
  <si>
    <t>为《审判》建立主动重演旧罪的前情</t>
  </si>
  <si>
    <t>阿芸知道携包者会被追杀，且真实证据仍在自己手中</t>
  </si>
  <si>
    <t>停顿、计算、主动选择错误目标</t>
  </si>
  <si>
    <t>低信任自动变成杀意；无前情突然作恶</t>
  </si>
  <si>
    <t>D10</t>
  </si>
  <si>
    <t>六类结局判词与收束对白</t>
  </si>
  <si>
    <t>让结局回应玩家一路行为而非讲道理</t>
  </si>
  <si>
    <t>各人物只知道自己亲历或收到的结果</t>
  </si>
  <si>
    <t>同一结局可有阿禾同行／分离演出变体</t>
  </si>
  <si>
    <t>系统旁白直接宣布善恶评分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</si>
</sst>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"/>
  </numFmts>
  <fonts count="48">
    <font>
      <sz val="11"/>
      <name val="Carlito"/>
      <charset val="134"/>
    </font>
    <font>
      <b/>
      <sz val="15"/>
      <color rgb="FFFFFFFF"/>
      <name val="Microsoft YaHei"/>
      <charset val="134"/>
    </font>
    <font>
      <sz val="10"/>
      <color rgb="FF20343A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173F49"/>
      <name val="Microsoft YaHei"/>
      <charset val="134"/>
    </font>
    <font>
      <b/>
      <sz val="10"/>
      <color rgb="FF2F6F79"/>
      <name val="Microsoft YaHei"/>
      <charset val="134"/>
    </font>
    <font>
      <sz val="12"/>
      <name val="Carlito"/>
      <charset val="134"/>
    </font>
    <font>
      <b/>
      <sz val="11"/>
      <color rgb="FF173F49"/>
      <name val="Microsoft YaHei"/>
      <charset val="134"/>
    </font>
    <font>
      <b/>
      <sz val="18"/>
      <color rgb="FFFFFFFF"/>
      <name val="Carlito"/>
      <charset val="134"/>
    </font>
    <font>
      <sz val="10"/>
      <color rgb="FF263238"/>
      <name val="Carlito"/>
      <charset val="134"/>
    </font>
    <font>
      <b/>
      <sz val="10"/>
      <color rgb="FFFFFFFF"/>
      <name val="Carlito"/>
      <charset val="134"/>
    </font>
    <font>
      <sz val="8"/>
      <color rgb="FF263238"/>
      <name val="Carlito"/>
      <charset val="134"/>
    </font>
    <font>
      <sz val="9"/>
      <color rgb="FF263238"/>
      <name val="Carlito"/>
      <charset val="134"/>
    </font>
    <font>
      <sz val="10"/>
      <color rgb="FF263238"/>
      <name val="宋体"/>
      <charset val="134"/>
    </font>
    <font>
      <sz val="9"/>
      <color rgb="FF263238"/>
      <name val="宋体"/>
      <charset val="134"/>
    </font>
    <font>
      <b/>
      <sz val="22"/>
      <color rgb="FFFFFFFF"/>
      <name val="宋体"/>
      <charset val="134"/>
    </font>
    <font>
      <sz val="22"/>
      <name val="Carlito"/>
      <charset val="134"/>
    </font>
    <font>
      <sz val="12"/>
      <color rgb="FF263238"/>
      <name val="宋体"/>
      <charset val="134"/>
    </font>
    <font>
      <b/>
      <sz val="12"/>
      <color rgb="FFFFFFFF"/>
      <name val="宋体"/>
      <charset val="134"/>
    </font>
    <font>
      <b/>
      <sz val="12"/>
      <color rgb="FF173F49"/>
      <name val="Microsoft YaHei"/>
      <charset val="134"/>
    </font>
    <font>
      <b/>
      <sz val="11"/>
      <color rgb="FF244653"/>
      <name val="宋体"/>
      <charset val="134"/>
    </font>
    <font>
      <b/>
      <sz val="11"/>
      <color rgb="FFFFFFFF"/>
      <name val="宋体"/>
      <charset val="134"/>
    </font>
    <font>
      <b/>
      <sz val="11"/>
      <color rgb="FFFFFFFF"/>
      <name val="Carlito"/>
      <charset val="134"/>
    </font>
    <font>
      <sz val="11"/>
      <color rgb="FF263238"/>
      <name val="宋体"/>
      <charset val="134"/>
    </font>
    <font>
      <sz val="11"/>
      <color rgb="FF263238"/>
      <name val="Carlito"/>
      <charset val="134"/>
    </font>
    <font>
      <b/>
      <sz val="12"/>
      <color rgb="FF244653"/>
      <name val="Carlito"/>
      <charset val="134"/>
    </font>
    <font>
      <b/>
      <sz val="11"/>
      <color rgb="FF9A7838"/>
      <name val="Carlito"/>
      <charset val="134"/>
    </font>
    <font>
      <b/>
      <sz val="11"/>
      <color rgb="FFFFFFFF"/>
      <name val="Microsoft YaHei"/>
      <charset val="134"/>
    </font>
    <font>
      <b/>
      <sz val="10"/>
      <color rgb="FF20343A"/>
      <name val="Microsoft YaHe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73F49"/>
        <bgColor indexed="64"/>
      </patternFill>
    </fill>
    <fill>
      <patternFill patternType="solid">
        <fgColor rgb="FFF7EED8"/>
        <bgColor indexed="64"/>
      </patternFill>
    </fill>
    <fill>
      <patternFill patternType="solid">
        <fgColor rgb="FF2F6F79"/>
        <bgColor indexed="64"/>
      </patternFill>
    </fill>
    <fill>
      <patternFill patternType="solid">
        <fgColor rgb="FFEAF3F5"/>
        <bgColor indexed="64"/>
      </patternFill>
    </fill>
    <fill>
      <patternFill patternType="solid">
        <fgColor rgb="FFDCECEF"/>
        <bgColor indexed="64"/>
      </patternFill>
    </fill>
    <fill>
      <patternFill patternType="solid">
        <fgColor rgb="FF244653"/>
        <bgColor indexed="64"/>
      </patternFill>
    </fill>
    <fill>
      <patternFill patternType="solid">
        <fgColor rgb="FFF4EEDA"/>
        <bgColor indexed="64"/>
      </patternFill>
    </fill>
    <fill>
      <patternFill patternType="solid">
        <fgColor rgb="FFFAFBFB"/>
        <bgColor indexed="64"/>
      </patternFill>
    </fill>
    <fill>
      <patternFill patternType="solid">
        <fgColor rgb="FF2E5E70"/>
        <bgColor indexed="64"/>
      </patternFill>
    </fill>
    <fill>
      <patternFill patternType="solid">
        <fgColor rgb="FFFFF5CC"/>
        <bgColor indexed="64"/>
      </patternFill>
    </fill>
    <fill>
      <patternFill patternType="solid">
        <fgColor rgb="FFE8F0F3"/>
        <bgColor indexed="64"/>
      </patternFill>
    </fill>
    <fill>
      <patternFill patternType="solid">
        <fgColor rgb="FFF3F5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4">
    <border>
      <left/>
      <right/>
      <top/>
      <bottom/>
      <diagonal/>
    </border>
    <border>
      <left style="thin">
        <color rgb="FFD7E0E3"/>
      </left>
      <right style="thin">
        <color rgb="FFD7E0E3"/>
      </right>
      <top style="thin">
        <color rgb="FFD7E0E3"/>
      </top>
      <bottom style="thin">
        <color rgb="FFD7E0E3"/>
      </bottom>
      <diagonal/>
    </border>
    <border>
      <left/>
      <right/>
      <top/>
      <bottom style="thin">
        <color rgb="FFD7E0E3"/>
      </bottom>
      <diagonal/>
    </border>
    <border>
      <left/>
      <right/>
      <top style="thin">
        <color rgb="FFD7E0E3"/>
      </top>
      <bottom style="thin">
        <color rgb="FFD7E0E3"/>
      </bottom>
      <diagonal/>
    </border>
    <border>
      <left style="thin">
        <color rgb="FFCDD5D8"/>
      </left>
      <right/>
      <top/>
      <bottom style="thin">
        <color rgb="FFD7E0E3"/>
      </bottom>
      <diagonal/>
    </border>
    <border>
      <left/>
      <right style="thin">
        <color rgb="FFCDD5D8"/>
      </right>
      <top/>
      <bottom style="thin">
        <color rgb="FFD7E0E3"/>
      </bottom>
      <diagonal/>
    </border>
    <border>
      <left style="thin">
        <color rgb="FFCDD5D8"/>
      </left>
      <right/>
      <top style="thin">
        <color rgb="FFD7E0E3"/>
      </top>
      <bottom style="thin">
        <color rgb="FFD7E0E3"/>
      </bottom>
      <diagonal/>
    </border>
    <border>
      <left/>
      <right style="thin">
        <color rgb="FFCDD5D8"/>
      </right>
      <top style="thin">
        <color rgb="FFD7E0E3"/>
      </top>
      <bottom style="thin">
        <color rgb="FFD7E0E3"/>
      </bottom>
      <diagonal/>
    </border>
    <border>
      <left style="thin">
        <color rgb="FFCDD5D8"/>
      </left>
      <right/>
      <top style="thin">
        <color rgb="FFCDD5D8"/>
      </top>
      <bottom style="thin">
        <color rgb="FFCDD5D8"/>
      </bottom>
      <diagonal/>
    </border>
    <border>
      <left/>
      <right/>
      <top style="thin">
        <color rgb="FFCDD5D8"/>
      </top>
      <bottom style="thin">
        <color rgb="FFCDD5D8"/>
      </bottom>
      <diagonal/>
    </border>
    <border>
      <left/>
      <right style="thin">
        <color rgb="FFCDD5D8"/>
      </right>
      <top style="thin">
        <color rgb="FFCDD5D8"/>
      </top>
      <bottom style="thin">
        <color rgb="FFCDD5D8"/>
      </bottom>
      <diagonal/>
    </border>
    <border>
      <left style="thin">
        <color rgb="FFCDD5D8"/>
      </left>
      <right/>
      <top/>
      <bottom style="thin">
        <color rgb="FFCDD5D8"/>
      </bottom>
      <diagonal/>
    </border>
    <border>
      <left/>
      <right/>
      <top/>
      <bottom style="thin">
        <color rgb="FFCDD5D8"/>
      </bottom>
      <diagonal/>
    </border>
    <border>
      <left/>
      <right style="thin">
        <color rgb="FFCDD5D8"/>
      </right>
      <top/>
      <bottom style="thin">
        <color rgb="FFCDD5D8"/>
      </bottom>
      <diagonal/>
    </border>
    <border>
      <left style="thin">
        <color rgb="FFCDD5D8"/>
      </left>
      <right/>
      <top style="thin">
        <color rgb="FFCDD5D8"/>
      </top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4" borderId="16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5" borderId="19" applyNumberFormat="0" applyAlignment="0" applyProtection="0">
      <alignment vertical="center"/>
    </xf>
    <xf numFmtId="0" fontId="39" fillId="16" borderId="20" applyNumberFormat="0" applyAlignment="0" applyProtection="0">
      <alignment vertical="center"/>
    </xf>
    <xf numFmtId="0" fontId="40" fillId="16" borderId="19" applyNumberFormat="0" applyAlignment="0" applyProtection="0">
      <alignment vertical="center"/>
    </xf>
    <xf numFmtId="0" fontId="41" fillId="17" borderId="21" applyNumberFormat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0" fillId="0" borderId="0"/>
  </cellStyleXfs>
  <cellXfs count="109">
    <xf numFmtId="0" fontId="0" fillId="0" borderId="0" xfId="49"/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5" fillId="5" borderId="3" xfId="0" applyNumberFormat="1" applyFont="1" applyFill="1" applyBorder="1" applyAlignment="1">
      <alignment vertical="top" wrapText="1"/>
    </xf>
    <xf numFmtId="0" fontId="4" fillId="3" borderId="3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6" fillId="0" borderId="0" xfId="49" applyFont="1" applyAlignment="1">
      <alignment horizontal="center" vertical="center"/>
    </xf>
    <xf numFmtId="0" fontId="6" fillId="0" borderId="0" xfId="49" applyFont="1" applyAlignment="1">
      <alignment horizontal="justify" vertical="center"/>
    </xf>
    <xf numFmtId="0" fontId="6" fillId="0" borderId="0" xfId="49" applyFont="1"/>
    <xf numFmtId="0" fontId="4" fillId="6" borderId="2" xfId="0" applyNumberFormat="1" applyFont="1" applyFill="1" applyBorder="1" applyAlignment="1">
      <alignment vertical="top" wrapText="1"/>
    </xf>
    <xf numFmtId="0" fontId="4" fillId="6" borderId="3" xfId="0" applyNumberFormat="1" applyFont="1" applyFill="1" applyBorder="1" applyAlignment="1">
      <alignment vertical="top" wrapText="1"/>
    </xf>
    <xf numFmtId="0" fontId="7" fillId="6" borderId="0" xfId="0" applyNumberFormat="1" applyFont="1" applyFill="1" applyBorder="1" applyAlignment="1">
      <alignment vertical="center"/>
    </xf>
    <xf numFmtId="0" fontId="0" fillId="0" borderId="0" xfId="49" applyAlignment="1">
      <alignment vertical="center"/>
    </xf>
    <xf numFmtId="0" fontId="0" fillId="0" borderId="0" xfId="49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5" borderId="2" xfId="0" applyNumberFormat="1" applyFont="1" applyFill="1" applyBorder="1" applyAlignment="1">
      <alignment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2" fillId="3" borderId="2" xfId="0" applyNumberFormat="1" applyFont="1" applyFill="1" applyBorder="1" applyAlignment="1">
      <alignment vertical="center" wrapText="1"/>
    </xf>
    <xf numFmtId="0" fontId="4" fillId="5" borderId="3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vertical="center" wrapText="1"/>
    </xf>
    <xf numFmtId="0" fontId="2" fillId="3" borderId="3" xfId="0" applyNumberFormat="1" applyFont="1" applyFill="1" applyBorder="1" applyAlignment="1">
      <alignment vertical="center" wrapText="1"/>
    </xf>
    <xf numFmtId="0" fontId="8" fillId="7" borderId="0" xfId="49" applyNumberFormat="1" applyFont="1" applyFill="1" applyBorder="1" applyAlignment="1">
      <alignment vertical="center"/>
    </xf>
    <xf numFmtId="0" fontId="9" fillId="8" borderId="0" xfId="49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vertical="top" wrapText="1"/>
    </xf>
    <xf numFmtId="176" fontId="2" fillId="0" borderId="2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vertical="top" wrapText="1"/>
    </xf>
    <xf numFmtId="0" fontId="2" fillId="9" borderId="6" xfId="0" applyNumberFormat="1" applyFont="1" applyFill="1" applyBorder="1" applyAlignment="1">
      <alignment vertical="top" wrapText="1"/>
    </xf>
    <xf numFmtId="0" fontId="2" fillId="9" borderId="3" xfId="0" applyNumberFormat="1" applyFont="1" applyFill="1" applyBorder="1" applyAlignment="1">
      <alignment vertical="top" wrapText="1"/>
    </xf>
    <xf numFmtId="176" fontId="2" fillId="9" borderId="3" xfId="0" applyNumberFormat="1" applyFont="1" applyFill="1" applyBorder="1" applyAlignment="1">
      <alignment vertical="top" wrapText="1"/>
    </xf>
    <xf numFmtId="0" fontId="2" fillId="9" borderId="7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vertical="top" wrapText="1"/>
    </xf>
    <xf numFmtId="176" fontId="2" fillId="0" borderId="3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vertical="top" wrapText="1"/>
    </xf>
    <xf numFmtId="0" fontId="10" fillId="10" borderId="8" xfId="49" applyNumberFormat="1" applyFont="1" applyFill="1" applyBorder="1" applyAlignment="1">
      <alignment horizontal="center" vertical="center" wrapText="1"/>
    </xf>
    <xf numFmtId="0" fontId="10" fillId="10" borderId="9" xfId="49" applyNumberFormat="1" applyFont="1" applyFill="1" applyBorder="1" applyAlignment="1">
      <alignment horizontal="center" vertical="center" wrapText="1"/>
    </xf>
    <xf numFmtId="0" fontId="10" fillId="10" borderId="10" xfId="49" applyNumberFormat="1" applyFont="1" applyFill="1" applyBorder="1" applyAlignment="1">
      <alignment horizontal="center" vertical="center" wrapText="1"/>
    </xf>
    <xf numFmtId="0" fontId="11" fillId="0" borderId="11" xfId="49" applyNumberFormat="1" applyFont="1" applyFill="1" applyBorder="1" applyAlignment="1">
      <alignment vertical="center" wrapText="1"/>
    </xf>
    <xf numFmtId="0" fontId="11" fillId="0" borderId="12" xfId="49" applyNumberFormat="1" applyFont="1" applyFill="1" applyBorder="1" applyAlignment="1">
      <alignment vertical="center" wrapText="1"/>
    </xf>
    <xf numFmtId="176" fontId="11" fillId="11" borderId="12" xfId="49" applyNumberFormat="1" applyFont="1" applyFill="1" applyBorder="1" applyAlignment="1">
      <alignment vertical="center" wrapText="1"/>
    </xf>
    <xf numFmtId="0" fontId="11" fillId="11" borderId="12" xfId="49" applyNumberFormat="1" applyFont="1" applyFill="1" applyBorder="1" applyAlignment="1">
      <alignment vertical="center" wrapText="1"/>
    </xf>
    <xf numFmtId="0" fontId="11" fillId="0" borderId="13" xfId="49" applyNumberFormat="1" applyFont="1" applyFill="1" applyBorder="1" applyAlignment="1">
      <alignment vertical="center" wrapText="1"/>
    </xf>
    <xf numFmtId="0" fontId="11" fillId="9" borderId="8" xfId="49" applyNumberFormat="1" applyFont="1" applyFill="1" applyBorder="1" applyAlignment="1">
      <alignment vertical="center" wrapText="1"/>
    </xf>
    <xf numFmtId="0" fontId="11" fillId="9" borderId="9" xfId="49" applyNumberFormat="1" applyFont="1" applyFill="1" applyBorder="1" applyAlignment="1">
      <alignment vertical="center" wrapText="1"/>
    </xf>
    <xf numFmtId="176" fontId="11" fillId="11" borderId="9" xfId="49" applyNumberFormat="1" applyFont="1" applyFill="1" applyBorder="1" applyAlignment="1">
      <alignment vertical="center" wrapText="1"/>
    </xf>
    <xf numFmtId="0" fontId="11" fillId="11" borderId="9" xfId="49" applyNumberFormat="1" applyFont="1" applyFill="1" applyBorder="1" applyAlignment="1">
      <alignment vertical="center" wrapText="1"/>
    </xf>
    <xf numFmtId="0" fontId="11" fillId="9" borderId="10" xfId="49" applyNumberFormat="1" applyFont="1" applyFill="1" applyBorder="1" applyAlignment="1">
      <alignment vertical="center" wrapText="1"/>
    </xf>
    <xf numFmtId="0" fontId="11" fillId="0" borderId="8" xfId="49" applyNumberFormat="1" applyFont="1" applyFill="1" applyBorder="1" applyAlignment="1">
      <alignment vertical="center" wrapText="1"/>
    </xf>
    <xf numFmtId="0" fontId="11" fillId="0" borderId="9" xfId="49" applyNumberFormat="1" applyFont="1" applyFill="1" applyBorder="1" applyAlignment="1">
      <alignment vertical="center" wrapText="1"/>
    </xf>
    <xf numFmtId="0" fontId="11" fillId="0" borderId="10" xfId="49" applyNumberFormat="1" applyFont="1" applyFill="1" applyBorder="1" applyAlignment="1">
      <alignment vertical="center" wrapText="1"/>
    </xf>
    <xf numFmtId="0" fontId="2" fillId="3" borderId="2" xfId="0" applyNumberFormat="1" applyFont="1" applyFill="1" applyBorder="1" applyAlignment="1">
      <alignment vertical="top" wrapText="1"/>
    </xf>
    <xf numFmtId="0" fontId="2" fillId="3" borderId="3" xfId="0" applyNumberFormat="1" applyFont="1" applyFill="1" applyBorder="1" applyAlignment="1">
      <alignment vertical="top" wrapText="1"/>
    </xf>
    <xf numFmtId="0" fontId="12" fillId="0" borderId="11" xfId="49" applyNumberFormat="1" applyFont="1" applyFill="1" applyBorder="1" applyAlignment="1">
      <alignment vertical="center" wrapText="1"/>
    </xf>
    <xf numFmtId="0" fontId="12" fillId="0" borderId="12" xfId="49" applyNumberFormat="1" applyFont="1" applyFill="1" applyBorder="1" applyAlignment="1">
      <alignment vertical="center" wrapText="1"/>
    </xf>
    <xf numFmtId="0" fontId="12" fillId="0" borderId="13" xfId="49" applyNumberFormat="1" applyFont="1" applyFill="1" applyBorder="1" applyAlignment="1">
      <alignment vertical="center" wrapText="1"/>
    </xf>
    <xf numFmtId="0" fontId="12" fillId="9" borderId="8" xfId="49" applyNumberFormat="1" applyFont="1" applyFill="1" applyBorder="1" applyAlignment="1">
      <alignment vertical="center" wrapText="1"/>
    </xf>
    <xf numFmtId="0" fontId="12" fillId="9" borderId="9" xfId="49" applyNumberFormat="1" applyFont="1" applyFill="1" applyBorder="1" applyAlignment="1">
      <alignment vertical="center" wrapText="1"/>
    </xf>
    <xf numFmtId="0" fontId="12" fillId="9" borderId="10" xfId="49" applyNumberFormat="1" applyFont="1" applyFill="1" applyBorder="1" applyAlignment="1">
      <alignment vertical="center" wrapText="1"/>
    </xf>
    <xf numFmtId="0" fontId="12" fillId="0" borderId="8" xfId="49" applyNumberFormat="1" applyFont="1" applyFill="1" applyBorder="1" applyAlignment="1">
      <alignment vertical="center" wrapText="1"/>
    </xf>
    <xf numFmtId="0" fontId="12" fillId="0" borderId="9" xfId="49" applyNumberFormat="1" applyFont="1" applyFill="1" applyBorder="1" applyAlignment="1">
      <alignment vertical="center" wrapText="1"/>
    </xf>
    <xf numFmtId="0" fontId="12" fillId="0" borderId="10" xfId="49" applyNumberFormat="1" applyFont="1" applyFill="1" applyBorder="1" applyAlignment="1">
      <alignment vertical="center" wrapText="1"/>
    </xf>
    <xf numFmtId="176" fontId="12" fillId="0" borderId="12" xfId="49" applyNumberFormat="1" applyFont="1" applyFill="1" applyBorder="1" applyAlignment="1">
      <alignment vertical="center" wrapText="1"/>
    </xf>
    <xf numFmtId="176" fontId="12" fillId="9" borderId="9" xfId="49" applyNumberFormat="1" applyFont="1" applyFill="1" applyBorder="1" applyAlignment="1">
      <alignment vertical="center" wrapText="1"/>
    </xf>
    <xf numFmtId="176" fontId="12" fillId="0" borderId="9" xfId="49" applyNumberFormat="1" applyFont="1" applyFill="1" applyBorder="1" applyAlignment="1">
      <alignment vertical="center" wrapText="1"/>
    </xf>
    <xf numFmtId="0" fontId="13" fillId="8" borderId="0" xfId="49" applyNumberFormat="1" applyFont="1" applyFill="1" applyBorder="1" applyAlignment="1">
      <alignment vertical="center" wrapText="1"/>
    </xf>
    <xf numFmtId="0" fontId="14" fillId="9" borderId="10" xfId="49" applyNumberFormat="1" applyFont="1" applyFill="1" applyBorder="1" applyAlignment="1">
      <alignment vertical="center" wrapText="1"/>
    </xf>
    <xf numFmtId="0" fontId="14" fillId="9" borderId="9" xfId="49" applyNumberFormat="1" applyFont="1" applyFill="1" applyBorder="1" applyAlignment="1">
      <alignment vertical="center" wrapText="1"/>
    </xf>
    <xf numFmtId="0" fontId="15" fillId="7" borderId="0" xfId="49" applyNumberFormat="1" applyFont="1" applyFill="1" applyBorder="1" applyAlignment="1">
      <alignment vertical="center"/>
    </xf>
    <xf numFmtId="0" fontId="16" fillId="0" borderId="0" xfId="49" applyFont="1"/>
    <xf numFmtId="0" fontId="17" fillId="8" borderId="0" xfId="49" applyNumberFormat="1" applyFont="1" applyFill="1" applyBorder="1" applyAlignment="1">
      <alignment vertical="center" wrapText="1"/>
    </xf>
    <xf numFmtId="0" fontId="18" fillId="10" borderId="8" xfId="49" applyNumberFormat="1" applyFont="1" applyFill="1" applyBorder="1" applyAlignment="1">
      <alignment horizontal="center" vertical="center" wrapText="1"/>
    </xf>
    <xf numFmtId="0" fontId="18" fillId="10" borderId="9" xfId="49" applyNumberFormat="1" applyFont="1" applyFill="1" applyBorder="1" applyAlignment="1">
      <alignment horizontal="center" vertical="center" wrapText="1"/>
    </xf>
    <xf numFmtId="0" fontId="18" fillId="10" borderId="10" xfId="49" applyNumberFormat="1" applyFont="1" applyFill="1" applyBorder="1" applyAlignment="1">
      <alignment horizontal="center" vertical="center" wrapText="1"/>
    </xf>
    <xf numFmtId="0" fontId="19" fillId="6" borderId="11" xfId="0" applyNumberFormat="1" applyFont="1" applyFill="1" applyBorder="1" applyAlignment="1">
      <alignment vertical="top" wrapText="1"/>
    </xf>
    <xf numFmtId="0" fontId="19" fillId="3" borderId="12" xfId="0" applyNumberFormat="1" applyFont="1" applyFill="1" applyBorder="1" applyAlignment="1">
      <alignment vertical="top" wrapText="1"/>
    </xf>
    <xf numFmtId="0" fontId="17" fillId="0" borderId="12" xfId="49" applyNumberFormat="1" applyFont="1" applyFill="1" applyBorder="1" applyAlignment="1">
      <alignment vertical="center" wrapText="1"/>
    </xf>
    <xf numFmtId="0" fontId="17" fillId="9" borderId="10" xfId="49" applyNumberFormat="1" applyFont="1" applyFill="1" applyBorder="1" applyAlignment="1">
      <alignment vertical="center" wrapText="1"/>
    </xf>
    <xf numFmtId="0" fontId="17" fillId="9" borderId="9" xfId="49" applyNumberFormat="1" applyFont="1" applyFill="1" applyBorder="1" applyAlignment="1">
      <alignment vertical="center" wrapText="1"/>
    </xf>
    <xf numFmtId="0" fontId="19" fillId="3" borderId="9" xfId="0" applyNumberFormat="1" applyFont="1" applyFill="1" applyBorder="1" applyAlignment="1">
      <alignment vertical="top" wrapText="1"/>
    </xf>
    <xf numFmtId="0" fontId="17" fillId="0" borderId="13" xfId="49" applyNumberFormat="1" applyFont="1" applyFill="1" applyBorder="1" applyAlignment="1">
      <alignment vertical="center" wrapText="1"/>
    </xf>
    <xf numFmtId="0" fontId="17" fillId="0" borderId="9" xfId="49" applyNumberFormat="1" applyFont="1" applyFill="1" applyBorder="1" applyAlignment="1">
      <alignment vertical="center" wrapText="1"/>
    </xf>
    <xf numFmtId="0" fontId="17" fillId="0" borderId="10" xfId="49" applyNumberFormat="1" applyFont="1" applyFill="1" applyBorder="1" applyAlignment="1">
      <alignment vertical="center" wrapText="1"/>
    </xf>
    <xf numFmtId="0" fontId="20" fillId="12" borderId="0" xfId="49" applyNumberFormat="1" applyFont="1" applyFill="1" applyBorder="1" applyAlignment="1">
      <alignment vertical="center"/>
    </xf>
    <xf numFmtId="0" fontId="0" fillId="0" borderId="0" xfId="49" applyFont="1"/>
    <xf numFmtId="0" fontId="21" fillId="10" borderId="14" xfId="49" applyNumberFormat="1" applyFont="1" applyFill="1" applyBorder="1" applyAlignment="1">
      <alignment horizontal="center" vertical="center" wrapText="1"/>
    </xf>
    <xf numFmtId="0" fontId="21" fillId="10" borderId="0" xfId="49" applyNumberFormat="1" applyFont="1" applyFill="1" applyAlignment="1">
      <alignment horizontal="center" vertical="center" wrapText="1"/>
    </xf>
    <xf numFmtId="0" fontId="22" fillId="10" borderId="0" xfId="49" applyNumberFormat="1" applyFont="1" applyFill="1" applyAlignment="1">
      <alignment horizontal="center" vertical="center" wrapText="1"/>
    </xf>
    <xf numFmtId="0" fontId="23" fillId="0" borderId="15" xfId="49" applyNumberFormat="1" applyFont="1" applyFill="1" applyBorder="1" applyAlignment="1">
      <alignment vertical="center" wrapText="1"/>
    </xf>
    <xf numFmtId="0" fontId="23" fillId="0" borderId="15" xfId="49" applyNumberFormat="1" applyFont="1" applyFill="1" applyBorder="1" applyAlignment="1">
      <alignment horizontal="center" vertical="center" wrapText="1"/>
    </xf>
    <xf numFmtId="0" fontId="24" fillId="0" borderId="15" xfId="49" applyNumberFormat="1" applyFont="1" applyFill="1" applyBorder="1" applyAlignment="1">
      <alignment horizontal="center" vertical="center" wrapText="1"/>
    </xf>
    <xf numFmtId="0" fontId="23" fillId="9" borderId="15" xfId="49" applyNumberFormat="1" applyFont="1" applyFill="1" applyBorder="1" applyAlignment="1">
      <alignment vertical="center" wrapText="1"/>
    </xf>
    <xf numFmtId="0" fontId="23" fillId="9" borderId="15" xfId="49" applyNumberFormat="1" applyFont="1" applyFill="1" applyBorder="1" applyAlignment="1">
      <alignment horizontal="center" vertical="center" wrapText="1"/>
    </xf>
    <xf numFmtId="0" fontId="24" fillId="9" borderId="15" xfId="49" applyNumberFormat="1" applyFont="1" applyFill="1" applyBorder="1" applyAlignment="1">
      <alignment horizontal="center" vertical="center" wrapText="1"/>
    </xf>
    <xf numFmtId="0" fontId="25" fillId="12" borderId="0" xfId="49" applyNumberFormat="1" applyFont="1" applyFill="1" applyBorder="1" applyAlignment="1">
      <alignment vertical="center"/>
    </xf>
    <xf numFmtId="0" fontId="12" fillId="0" borderId="12" xfId="49" applyNumberFormat="1" applyFont="1" applyFill="1" applyBorder="1" applyAlignment="1">
      <alignment horizontal="center" vertical="center" wrapText="1"/>
    </xf>
    <xf numFmtId="0" fontId="12" fillId="9" borderId="9" xfId="49" applyNumberFormat="1" applyFont="1" applyFill="1" applyBorder="1" applyAlignment="1">
      <alignment horizontal="center" vertical="center" wrapText="1"/>
    </xf>
    <xf numFmtId="0" fontId="12" fillId="0" borderId="9" xfId="49" applyNumberFormat="1" applyFont="1" applyFill="1" applyBorder="1" applyAlignment="1">
      <alignment horizontal="center" vertical="center" wrapText="1"/>
    </xf>
    <xf numFmtId="0" fontId="26" fillId="8" borderId="0" xfId="49" applyNumberFormat="1" applyFont="1" applyFill="1" applyBorder="1" applyAlignment="1">
      <alignment horizontal="center" vertical="center" wrapText="1"/>
    </xf>
    <xf numFmtId="0" fontId="9" fillId="13" borderId="0" xfId="49" applyNumberFormat="1" applyFont="1" applyFill="1" applyBorder="1" applyAlignment="1">
      <alignment vertical="center" wrapText="1"/>
    </xf>
    <xf numFmtId="0" fontId="27" fillId="2" borderId="0" xfId="0" applyNumberFormat="1" applyFont="1" applyFill="1" applyBorder="1" applyAlignment="1"/>
    <xf numFmtId="0" fontId="28" fillId="3" borderId="2" xfId="0" applyNumberFormat="1" applyFont="1" applyFill="1" applyBorder="1" applyAlignment="1">
      <alignment vertical="top" wrapText="1"/>
    </xf>
    <xf numFmtId="0" fontId="2" fillId="0" borderId="0" xfId="0" applyNumberFormat="1" applyFont="1" applyFill="1" applyAlignment="1">
      <alignment horizontal="center" vertical="top" wrapText="1"/>
    </xf>
    <xf numFmtId="0" fontId="28" fillId="3" borderId="3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ont>
        <b val="1"/>
        <color rgb="FF8A3434"/>
      </font>
      <fill>
        <patternFill patternType="solid">
          <bgColor rgb="FFF7E6E4"/>
        </patternFill>
      </fill>
    </dxf>
    <dxf>
      <font>
        <b val="1"/>
        <color rgb="FF9A7838"/>
      </font>
      <fill>
        <patternFill patternType="solid">
          <bgColor rgb="FFF4EEDA"/>
        </patternFill>
      </fill>
    </dxf>
    <dxf>
      <font>
        <b val="1"/>
        <color rgb="FF244653"/>
      </font>
      <fill>
        <patternFill patternType="solid">
          <bgColor rgb="FFE8F0F3"/>
        </patternFill>
      </fill>
    </dxf>
    <dxf>
      <font>
        <b val="1"/>
        <color rgb="FF2E6840"/>
      </font>
      <fill>
        <patternFill patternType="solid">
          <bgColor rgb="FFE4F1E7"/>
        </patternFill>
      </fill>
    </dxf>
    <dxf>
      <font>
        <name val="Microsoft YaHei"/>
        <scheme val="none"/>
        <b val="1"/>
        <color rgb="FF2F7D55"/>
      </font>
      <fill>
        <patternFill patternType="solid">
          <bgColor rgb="FFDDEFE4"/>
        </patternFill>
      </fill>
    </dxf>
    <dxf>
      <font>
        <name val="Microsoft YaHei"/>
        <scheme val="none"/>
        <b val="1"/>
        <color rgb="FFD66A5D"/>
      </font>
      <fill>
        <patternFill patternType="solid">
          <bgColor rgb="FFF7DFDA"/>
        </patternFill>
      </fill>
    </dxf>
    <dxf>
      <font>
        <name val="Microsoft YaHei"/>
        <scheme val="none"/>
        <b val="1"/>
        <color rgb="FFD66A5D"/>
      </font>
      <fill>
        <patternFill patternType="solid">
          <bgColor rgb="FFF7EED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showGridLines="0" zoomScale="120" zoomScaleNormal="120" workbookViewId="0">
      <selection activeCell="B19" sqref="B19"/>
    </sheetView>
  </sheetViews>
  <sheetFormatPr defaultColWidth="9" defaultRowHeight="14" outlineLevelCol="4"/>
  <cols>
    <col min="1" max="1" width="22" customWidth="1"/>
    <col min="2" max="2" width="24.9" customWidth="1"/>
    <col min="3" max="4" width="38" customWidth="1"/>
    <col min="5" max="5" width="25" customWidth="1"/>
  </cols>
  <sheetData>
    <row r="1" ht="32" customHeight="1" spans="1:5">
      <c r="A1" s="28" t="s">
        <v>0</v>
      </c>
    </row>
    <row r="3" ht="26" customHeight="1" spans="1:5">
      <c r="A3" s="88" t="s">
        <v>1</v>
      </c>
      <c r="B3" s="89"/>
      <c r="C3" s="89"/>
      <c r="D3" s="89"/>
      <c r="E3" s="89"/>
    </row>
    <row r="4" ht="30" customHeight="1" spans="1:5">
      <c r="A4" s="90" t="s">
        <v>2</v>
      </c>
      <c r="B4" s="91" t="s">
        <v>3</v>
      </c>
      <c r="C4" s="92"/>
      <c r="D4" s="92"/>
      <c r="E4" s="92"/>
    </row>
    <row r="5" spans="1:5">
      <c r="A5" s="93" t="s">
        <v>4</v>
      </c>
      <c r="B5" s="94" t="s">
        <v>5</v>
      </c>
      <c r="C5" s="95"/>
      <c r="D5" s="95"/>
      <c r="E5" s="95"/>
    </row>
    <row r="6" spans="1:5">
      <c r="A6" s="96" t="s">
        <v>6</v>
      </c>
      <c r="B6" s="97" t="s">
        <v>7</v>
      </c>
      <c r="C6" s="98"/>
      <c r="D6" s="98"/>
      <c r="E6" s="98"/>
    </row>
    <row r="7" spans="1:5">
      <c r="A7" s="93" t="s">
        <v>8</v>
      </c>
      <c r="B7" s="94" t="s">
        <v>9</v>
      </c>
      <c r="C7" s="95"/>
      <c r="D7" s="95"/>
      <c r="E7" s="95"/>
    </row>
    <row r="8" spans="1:5">
      <c r="A8" s="96" t="s">
        <v>10</v>
      </c>
      <c r="B8" s="97" t="s">
        <v>11</v>
      </c>
      <c r="C8" s="98"/>
      <c r="D8" s="98"/>
      <c r="E8" s="98"/>
    </row>
    <row r="9" spans="1:5">
      <c r="A9" s="93" t="s">
        <v>12</v>
      </c>
      <c r="B9" s="94" t="s">
        <v>13</v>
      </c>
      <c r="C9" s="95"/>
      <c r="D9" s="95"/>
      <c r="E9" s="95"/>
    </row>
    <row r="10" spans="1:5">
      <c r="A10" s="96" t="s">
        <v>14</v>
      </c>
      <c r="B10" s="97" t="s">
        <v>15</v>
      </c>
      <c r="C10" s="98"/>
      <c r="D10" s="98"/>
      <c r="E10" s="98"/>
    </row>
    <row r="11" spans="1:5">
      <c r="A11" s="93" t="s">
        <v>16</v>
      </c>
      <c r="B11" s="94" t="s">
        <v>17</v>
      </c>
      <c r="C11" s="95"/>
      <c r="D11" s="95"/>
      <c r="E11" s="95"/>
    </row>
    <row r="12" spans="1:5">
      <c r="A12" s="96" t="s">
        <v>18</v>
      </c>
      <c r="B12" s="97" t="s">
        <v>19</v>
      </c>
      <c r="C12" s="98"/>
      <c r="D12" s="98"/>
      <c r="E12" s="98"/>
    </row>
    <row r="14" ht="26" customHeight="1" spans="1:5">
      <c r="A14" s="99" t="s">
        <v>20</v>
      </c>
    </row>
    <row r="15" ht="30" customHeight="1" spans="1:5">
      <c r="A15" s="40" t="s">
        <v>21</v>
      </c>
      <c r="B15" s="41" t="s">
        <v>22</v>
      </c>
      <c r="C15" s="41" t="s">
        <v>23</v>
      </c>
      <c r="D15" s="41" t="s">
        <v>24</v>
      </c>
      <c r="E15" s="42" t="s">
        <v>25</v>
      </c>
    </row>
    <row r="16" ht="42" customHeight="1" spans="1:5">
      <c r="A16" s="58" t="s">
        <v>26</v>
      </c>
      <c r="B16" s="100">
        <v>0</v>
      </c>
      <c r="C16" s="59" t="s">
        <v>27</v>
      </c>
      <c r="D16" s="59" t="s">
        <v>28</v>
      </c>
      <c r="E16" s="60" t="s">
        <v>29</v>
      </c>
    </row>
    <row r="17" ht="42" customHeight="1" spans="1:5">
      <c r="A17" s="61" t="s">
        <v>30</v>
      </c>
      <c r="B17" s="101">
        <v>0</v>
      </c>
      <c r="C17" s="62" t="s">
        <v>31</v>
      </c>
      <c r="D17" s="62" t="s">
        <v>32</v>
      </c>
      <c r="E17" s="63" t="s">
        <v>33</v>
      </c>
    </row>
    <row r="18" ht="42" customHeight="1" spans="1:5">
      <c r="A18" s="64" t="s">
        <v>34</v>
      </c>
      <c r="B18" s="102">
        <v>1</v>
      </c>
      <c r="C18" s="65" t="s">
        <v>35</v>
      </c>
      <c r="D18" s="65" t="s">
        <v>36</v>
      </c>
      <c r="E18" s="66" t="s">
        <v>37</v>
      </c>
    </row>
    <row r="19" ht="42" customHeight="1" spans="1:5">
      <c r="A19" s="61" t="s">
        <v>38</v>
      </c>
      <c r="B19" s="101">
        <v>1</v>
      </c>
      <c r="C19" s="62" t="s">
        <v>39</v>
      </c>
      <c r="D19" s="62" t="s">
        <v>40</v>
      </c>
      <c r="E19" s="63" t="s">
        <v>41</v>
      </c>
    </row>
    <row r="21" ht="26" customHeight="1" spans="1:5">
      <c r="A21" s="99" t="s">
        <v>42</v>
      </c>
    </row>
    <row r="22" ht="30" customHeight="1" spans="1:5">
      <c r="A22" s="103" t="s">
        <v>43</v>
      </c>
      <c r="B22" s="104" t="s">
        <v>44</v>
      </c>
      <c r="C22" s="104"/>
      <c r="D22" s="104"/>
      <c r="E22" s="104"/>
    </row>
    <row r="23" ht="30" customHeight="1" spans="1:5">
      <c r="A23" s="103" t="s">
        <v>45</v>
      </c>
      <c r="B23" s="104" t="s">
        <v>46</v>
      </c>
      <c r="C23" s="104"/>
      <c r="D23" s="104"/>
      <c r="E23" s="104"/>
    </row>
    <row r="24" ht="30" customHeight="1" spans="1:5">
      <c r="A24" s="103" t="s">
        <v>47</v>
      </c>
      <c r="B24" s="104" t="s">
        <v>48</v>
      </c>
      <c r="C24" s="104"/>
      <c r="D24" s="104"/>
      <c r="E24" s="104"/>
    </row>
    <row r="25" ht="30" customHeight="1" spans="1:5">
      <c r="A25" s="103" t="s">
        <v>49</v>
      </c>
      <c r="B25" s="104" t="s">
        <v>50</v>
      </c>
      <c r="C25" s="104"/>
      <c r="D25" s="104"/>
      <c r="E25" s="104"/>
    </row>
    <row r="26" ht="30" customHeight="1" spans="1:5">
      <c r="A26" s="103" t="s">
        <v>51</v>
      </c>
      <c r="B26" s="104" t="s">
        <v>52</v>
      </c>
      <c r="C26" s="104"/>
      <c r="D26" s="104"/>
      <c r="E26" s="104"/>
    </row>
    <row r="28" ht="16.5" spans="1:5">
      <c r="A28" s="105" t="s">
        <v>53</v>
      </c>
      <c r="B28" s="105"/>
      <c r="C28" s="105"/>
      <c r="D28" s="105"/>
      <c r="E28" s="105"/>
    </row>
    <row r="29" ht="14.5" spans="1:5">
      <c r="A29" s="106" t="s">
        <v>54</v>
      </c>
      <c r="B29" s="107" t="s">
        <v>55</v>
      </c>
      <c r="C29" s="107"/>
    </row>
    <row r="30" ht="14.5" spans="1:5">
      <c r="A30" s="108" t="s">
        <v>56</v>
      </c>
      <c r="B30" s="107" t="s">
        <v>57</v>
      </c>
      <c r="C30" s="107"/>
    </row>
    <row r="31" ht="14.5" spans="1:5">
      <c r="A31" s="108" t="s">
        <v>58</v>
      </c>
      <c r="B31" s="107" t="s">
        <v>59</v>
      </c>
      <c r="C31" s="107"/>
    </row>
    <row r="32" ht="14.5" spans="1:5">
      <c r="A32" s="108" t="s">
        <v>60</v>
      </c>
      <c r="B32" s="107" t="s">
        <v>61</v>
      </c>
      <c r="C32" s="107"/>
    </row>
    <row r="33" ht="14.5" spans="1:3">
      <c r="A33" s="108" t="s">
        <v>62</v>
      </c>
      <c r="B33" s="107" t="s">
        <v>63</v>
      </c>
      <c r="C33" s="107"/>
    </row>
  </sheetData>
  <mergeCells count="24">
    <mergeCell ref="A1:E1"/>
    <mergeCell ref="A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A14:E14"/>
    <mergeCell ref="A21:E21"/>
    <mergeCell ref="B22:E22"/>
    <mergeCell ref="B23:E23"/>
    <mergeCell ref="B24:E24"/>
    <mergeCell ref="B25:E25"/>
    <mergeCell ref="B26:E26"/>
    <mergeCell ref="A28:E28"/>
    <mergeCell ref="B29:C29"/>
    <mergeCell ref="B30:C30"/>
    <mergeCell ref="B31:C31"/>
    <mergeCell ref="B32:C32"/>
    <mergeCell ref="B33:C3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showGridLines="0" topLeftCell="A9" workbookViewId="0">
      <selection activeCell="A1" sqref="A1:H1"/>
    </sheetView>
  </sheetViews>
  <sheetFormatPr defaultColWidth="20" defaultRowHeight="15.5" outlineLevelCol="7"/>
  <cols>
    <col min="1" max="2" width="20" style="11" customWidth="1"/>
    <col min="3" max="3" width="21.75" style="11" customWidth="1"/>
    <col min="4" max="16384" width="20" style="11" customWidth="1"/>
  </cols>
  <sheetData>
    <row r="1" ht="32" customHeight="1" spans="1:8">
      <c r="A1" s="73" t="s">
        <v>64</v>
      </c>
      <c r="B1" s="74"/>
      <c r="C1" s="74"/>
      <c r="D1" s="74"/>
      <c r="E1" s="74"/>
      <c r="F1" s="74"/>
      <c r="G1" s="74"/>
      <c r="H1" s="74"/>
    </row>
    <row r="2" ht="34" customHeight="1" spans="1:8">
      <c r="A2" s="75" t="s">
        <v>65</v>
      </c>
    </row>
    <row r="4" ht="30" customHeight="1" spans="1:8">
      <c r="A4" s="76" t="s">
        <v>66</v>
      </c>
      <c r="B4" s="77" t="s">
        <v>67</v>
      </c>
      <c r="C4" s="77" t="s">
        <v>68</v>
      </c>
      <c r="D4" s="77" t="s">
        <v>69</v>
      </c>
      <c r="E4" s="77" t="s">
        <v>70</v>
      </c>
      <c r="F4" s="77" t="s">
        <v>71</v>
      </c>
      <c r="G4" s="77" t="s">
        <v>72</v>
      </c>
      <c r="H4" s="78" t="s">
        <v>73</v>
      </c>
    </row>
    <row r="5" ht="78" customHeight="1" spans="1:8">
      <c r="A5" s="79" t="s">
        <v>74</v>
      </c>
      <c r="B5" s="80" t="s">
        <v>75</v>
      </c>
      <c r="C5" s="81" t="s">
        <v>76</v>
      </c>
      <c r="D5" s="81" t="s">
        <v>77</v>
      </c>
      <c r="E5" s="81" t="s">
        <v>78</v>
      </c>
      <c r="F5" s="81" t="s">
        <v>79</v>
      </c>
      <c r="G5" s="81" t="s">
        <v>80</v>
      </c>
      <c r="H5" s="82" t="s">
        <v>81</v>
      </c>
    </row>
    <row r="6" ht="78" customHeight="1" spans="1:8">
      <c r="A6" s="79" t="s">
        <v>82</v>
      </c>
      <c r="B6" s="80" t="s">
        <v>83</v>
      </c>
      <c r="C6" s="83" t="s">
        <v>84</v>
      </c>
      <c r="D6" s="83" t="s">
        <v>85</v>
      </c>
      <c r="E6" s="83" t="s">
        <v>86</v>
      </c>
      <c r="F6" s="83" t="s">
        <v>79</v>
      </c>
      <c r="G6" s="83" t="s">
        <v>87</v>
      </c>
      <c r="H6" s="82" t="s">
        <v>88</v>
      </c>
    </row>
    <row r="7" ht="78" customHeight="1" spans="1:8">
      <c r="A7" s="79" t="s">
        <v>89</v>
      </c>
      <c r="B7" s="84" t="s">
        <v>90</v>
      </c>
      <c r="C7" s="81" t="s">
        <v>91</v>
      </c>
      <c r="D7" s="81" t="s">
        <v>92</v>
      </c>
      <c r="E7" s="81" t="s">
        <v>93</v>
      </c>
      <c r="F7" s="81" t="s">
        <v>94</v>
      </c>
      <c r="G7" s="81" t="s">
        <v>95</v>
      </c>
      <c r="H7" s="85" t="s">
        <v>96</v>
      </c>
    </row>
    <row r="8" ht="78" customHeight="1" spans="1:8">
      <c r="A8" s="79" t="s">
        <v>97</v>
      </c>
      <c r="B8" s="84" t="s">
        <v>98</v>
      </c>
      <c r="C8" s="83" t="s">
        <v>99</v>
      </c>
      <c r="D8" s="83" t="s">
        <v>100</v>
      </c>
      <c r="E8" s="83" t="s">
        <v>101</v>
      </c>
      <c r="F8" s="83" t="s">
        <v>102</v>
      </c>
      <c r="G8" s="83" t="s">
        <v>103</v>
      </c>
      <c r="H8" s="82" t="s">
        <v>104</v>
      </c>
    </row>
    <row r="9" ht="78" customHeight="1" spans="1:8">
      <c r="A9" s="79" t="s">
        <v>105</v>
      </c>
      <c r="B9" s="84" t="s">
        <v>106</v>
      </c>
      <c r="C9" s="86" t="s">
        <v>107</v>
      </c>
      <c r="D9" s="86" t="s">
        <v>108</v>
      </c>
      <c r="E9" s="86" t="s">
        <v>109</v>
      </c>
      <c r="F9" s="86" t="s">
        <v>110</v>
      </c>
      <c r="G9" s="86" t="s">
        <v>111</v>
      </c>
      <c r="H9" s="87" t="s">
        <v>112</v>
      </c>
    </row>
    <row r="10" ht="78" customHeight="1" spans="1:8">
      <c r="A10" s="79" t="s">
        <v>113</v>
      </c>
      <c r="B10" s="84" t="s">
        <v>114</v>
      </c>
      <c r="C10" s="83" t="s">
        <v>115</v>
      </c>
      <c r="D10" s="83" t="s">
        <v>116</v>
      </c>
      <c r="E10" s="83" t="s">
        <v>117</v>
      </c>
      <c r="F10" s="83" t="s">
        <v>118</v>
      </c>
      <c r="G10" s="83" t="s">
        <v>119</v>
      </c>
      <c r="H10" s="82" t="s">
        <v>120</v>
      </c>
    </row>
    <row r="11" ht="78" customHeight="1" spans="1:8">
      <c r="A11" s="79" t="s">
        <v>121</v>
      </c>
      <c r="B11" s="84" t="s">
        <v>122</v>
      </c>
      <c r="C11" s="86" t="s">
        <v>123</v>
      </c>
      <c r="D11" s="86" t="s">
        <v>124</v>
      </c>
      <c r="E11" s="86" t="s">
        <v>125</v>
      </c>
      <c r="F11" s="86" t="s">
        <v>126</v>
      </c>
      <c r="G11" s="86" t="s">
        <v>127</v>
      </c>
      <c r="H11" s="87" t="s">
        <v>128</v>
      </c>
    </row>
    <row r="12" ht="78" customHeight="1" spans="1:8">
      <c r="A12" s="79" t="s">
        <v>129</v>
      </c>
      <c r="B12" s="84" t="s">
        <v>130</v>
      </c>
      <c r="C12" s="83" t="s">
        <v>131</v>
      </c>
      <c r="D12" s="83" t="s">
        <v>132</v>
      </c>
      <c r="E12" s="83" t="s">
        <v>133</v>
      </c>
      <c r="F12" s="83" t="s">
        <v>134</v>
      </c>
      <c r="G12" s="83" t="s">
        <v>135</v>
      </c>
      <c r="H12" s="82" t="s">
        <v>136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showGridLines="0" tabSelected="1" workbookViewId="0">
      <selection activeCell="D8" sqref="D8"/>
    </sheetView>
  </sheetViews>
  <sheetFormatPr defaultColWidth="9" defaultRowHeight="14"/>
  <cols>
    <col min="1" max="1" width="16" customWidth="1"/>
    <col min="2" max="2" width="10" customWidth="1"/>
    <col min="3" max="3" width="30" customWidth="1"/>
    <col min="4" max="4" width="42" customWidth="1"/>
    <col min="5" max="5" width="22" customWidth="1"/>
    <col min="6" max="6" width="10" customWidth="1"/>
    <col min="7" max="9" width="12" customWidth="1"/>
    <col min="10" max="10" width="35" customWidth="1"/>
  </cols>
  <sheetData>
    <row r="1" ht="32" customHeight="1" spans="1:10">
      <c r="A1" s="28" t="s">
        <v>137</v>
      </c>
    </row>
    <row r="2" ht="34" customHeight="1" spans="1:10">
      <c r="A2" s="70" t="s">
        <v>138</v>
      </c>
    </row>
    <row r="4" ht="30" customHeight="1" spans="1:10">
      <c r="A4" s="40" t="s">
        <v>139</v>
      </c>
      <c r="B4" s="41" t="s">
        <v>66</v>
      </c>
      <c r="C4" s="41" t="s">
        <v>140</v>
      </c>
      <c r="D4" s="41" t="s">
        <v>141</v>
      </c>
      <c r="E4" s="41" t="s">
        <v>142</v>
      </c>
      <c r="F4" s="41" t="s">
        <v>26</v>
      </c>
      <c r="G4" s="41" t="s">
        <v>30</v>
      </c>
      <c r="H4" s="41" t="s">
        <v>34</v>
      </c>
      <c r="I4" s="41" t="s">
        <v>38</v>
      </c>
      <c r="J4" s="42" t="s">
        <v>143</v>
      </c>
    </row>
    <row r="5" ht="54" customHeight="1" spans="1:10">
      <c r="A5" s="58" t="s">
        <v>144</v>
      </c>
      <c r="B5" s="59" t="s">
        <v>145</v>
      </c>
      <c r="C5" s="59" t="s">
        <v>146</v>
      </c>
      <c r="D5" s="59" t="s">
        <v>147</v>
      </c>
      <c r="E5" s="59" t="s">
        <v>148</v>
      </c>
      <c r="F5" s="67">
        <f>SUMIF('07数值索引'!$A$5:$A$56,A5,'07数值索引'!$D$5:$D$56)</f>
        <v>0</v>
      </c>
      <c r="G5" s="67">
        <f>SUMIF('07数值索引'!$A$5:$A$56,A5,'07数值索引'!$E$5:$E$56)</f>
        <v>0</v>
      </c>
      <c r="H5" s="67">
        <f>SUMIF('07数值索引'!$A$5:$A$56,A5,'07数值索引'!$F$5:$F$56)</f>
        <v>1</v>
      </c>
      <c r="I5" s="67">
        <f>SUMIF('07数值索引'!$A$5:$A$56,A5,'07数值索引'!$G$5:$G$56)</f>
        <v>0</v>
      </c>
      <c r="J5" s="60" t="s">
        <v>149</v>
      </c>
    </row>
    <row r="6" ht="54" customHeight="1" spans="1:10">
      <c r="A6" s="61" t="s">
        <v>150</v>
      </c>
      <c r="B6" s="62" t="s">
        <v>145</v>
      </c>
      <c r="C6" s="62" t="s">
        <v>151</v>
      </c>
      <c r="D6" s="62" t="s">
        <v>152</v>
      </c>
      <c r="E6" s="62" t="s">
        <v>153</v>
      </c>
      <c r="F6" s="68">
        <f>SUMIF('07数值索引'!$A$5:$A$56,A6,'07数值索引'!$D$5:$D$56)</f>
        <v>0</v>
      </c>
      <c r="G6" s="68">
        <f>SUMIF('07数值索引'!$A$5:$A$56,A6,'07数值索引'!$E$5:$E$56)</f>
        <v>0</v>
      </c>
      <c r="H6" s="68">
        <f>SUMIF('07数值索引'!$A$5:$A$56,A6,'07数值索引'!$F$5:$F$56)</f>
        <v>-1</v>
      </c>
      <c r="I6" s="68">
        <f>SUMIF('07数值索引'!$A$5:$A$56,A6,'07数值索引'!$G$5:$G$56)</f>
        <v>0</v>
      </c>
      <c r="J6" s="63" t="s">
        <v>154</v>
      </c>
    </row>
    <row r="7" ht="54" customHeight="1" spans="1:10">
      <c r="A7" s="64" t="s">
        <v>155</v>
      </c>
      <c r="B7" s="65" t="s">
        <v>145</v>
      </c>
      <c r="C7" s="65" t="s">
        <v>151</v>
      </c>
      <c r="D7" s="65" t="s">
        <v>156</v>
      </c>
      <c r="E7" s="65" t="s">
        <v>157</v>
      </c>
      <c r="F7" s="69">
        <f>SUMIF('07数值索引'!$A$5:$A$56,A7,'07数值索引'!$D$5:$D$56)</f>
        <v>0</v>
      </c>
      <c r="G7" s="69">
        <f>SUMIF('07数值索引'!$A$5:$A$56,A7,'07数值索引'!$E$5:$E$56)</f>
        <v>0</v>
      </c>
      <c r="H7" s="69">
        <f>SUMIF('07数值索引'!$A$5:$A$56,A7,'07数值索引'!$F$5:$F$56)</f>
        <v>0</v>
      </c>
      <c r="I7" s="69">
        <f>SUMIF('07数值索引'!$A$5:$A$56,A7,'07数值索引'!$G$5:$G$56)</f>
        <v>0</v>
      </c>
      <c r="J7" s="66" t="s">
        <v>158</v>
      </c>
    </row>
    <row r="8" ht="54" customHeight="1" spans="1:10">
      <c r="A8" s="61" t="s">
        <v>159</v>
      </c>
      <c r="B8" s="62" t="s">
        <v>160</v>
      </c>
      <c r="C8" s="62" t="s">
        <v>161</v>
      </c>
      <c r="D8" s="62" t="s">
        <v>162</v>
      </c>
      <c r="E8" s="62" t="s">
        <v>163</v>
      </c>
      <c r="F8" s="68">
        <f>SUMIF('07数值索引'!$A$5:$A$56,A8,'07数值索引'!$D$5:$D$56)</f>
        <v>0</v>
      </c>
      <c r="G8" s="68">
        <f>SUMIF('07数值索引'!$A$5:$A$56,A8,'07数值索引'!$E$5:$E$56)</f>
        <v>0</v>
      </c>
      <c r="H8" s="68">
        <f>SUMIF('07数值索引'!$A$5:$A$56,A8,'07数值索引'!$F$5:$F$56)</f>
        <v>1</v>
      </c>
      <c r="I8" s="68">
        <f>SUMIF('07数值索引'!$A$5:$A$56,A8,'07数值索引'!$G$5:$G$56)</f>
        <v>0</v>
      </c>
      <c r="J8" s="63" t="s">
        <v>164</v>
      </c>
    </row>
    <row r="9" ht="54" customHeight="1" spans="1:10">
      <c r="A9" s="64" t="s">
        <v>165</v>
      </c>
      <c r="B9" s="65" t="s">
        <v>160</v>
      </c>
      <c r="C9" s="65" t="s">
        <v>151</v>
      </c>
      <c r="D9" s="65" t="s">
        <v>166</v>
      </c>
      <c r="E9" s="65" t="s">
        <v>167</v>
      </c>
      <c r="F9" s="69">
        <f>SUMIF('07数值索引'!$A$5:$A$56,A9,'07数值索引'!$D$5:$D$56)</f>
        <v>0</v>
      </c>
      <c r="G9" s="69">
        <f>SUMIF('07数值索引'!$A$5:$A$56,A9,'07数值索引'!$E$5:$E$56)</f>
        <v>0</v>
      </c>
      <c r="H9" s="69">
        <f>SUMIF('07数值索引'!$A$5:$A$56,A9,'07数值索引'!$F$5:$F$56)</f>
        <v>0</v>
      </c>
      <c r="I9" s="69">
        <f>SUMIF('07数值索引'!$A$5:$A$56,A9,'07数值索引'!$G$5:$G$56)</f>
        <v>0</v>
      </c>
      <c r="J9" s="66" t="s">
        <v>168</v>
      </c>
    </row>
    <row r="10" ht="54" customHeight="1" spans="1:10">
      <c r="A10" s="61" t="s">
        <v>169</v>
      </c>
      <c r="B10" s="62" t="s">
        <v>160</v>
      </c>
      <c r="C10" s="62" t="s">
        <v>151</v>
      </c>
      <c r="D10" s="62" t="s">
        <v>170</v>
      </c>
      <c r="E10" s="62" t="s">
        <v>171</v>
      </c>
      <c r="F10" s="68">
        <f>SUMIF('07数值索引'!$A$5:$A$56,A10,'07数值索引'!$D$5:$D$56)</f>
        <v>0</v>
      </c>
      <c r="G10" s="68">
        <f>SUMIF('07数值索引'!$A$5:$A$56,A10,'07数值索引'!$E$5:$E$56)</f>
        <v>1</v>
      </c>
      <c r="H10" s="68">
        <f>SUMIF('07数值索引'!$A$5:$A$56,A10,'07数值索引'!$F$5:$F$56)</f>
        <v>-1</v>
      </c>
      <c r="I10" s="68">
        <f>SUMIF('07数值索引'!$A$5:$A$56,A10,'07数值索引'!$G$5:$G$56)</f>
        <v>1</v>
      </c>
      <c r="J10" s="63" t="s">
        <v>172</v>
      </c>
    </row>
    <row r="11" ht="54" customHeight="1" spans="1:10">
      <c r="A11" s="64" t="s">
        <v>173</v>
      </c>
      <c r="B11" s="65" t="s">
        <v>174</v>
      </c>
      <c r="C11" s="65" t="s">
        <v>175</v>
      </c>
      <c r="D11" s="65" t="s">
        <v>176</v>
      </c>
      <c r="E11" s="65" t="s">
        <v>177</v>
      </c>
      <c r="F11" s="69">
        <f>SUMIF('07数值索引'!$A$5:$A$56,A11,'07数值索引'!$D$5:$D$56)</f>
        <v>-1</v>
      </c>
      <c r="G11" s="69">
        <f>SUMIF('07数值索引'!$A$5:$A$56,A11,'07数值索引'!$E$5:$E$56)</f>
        <v>0</v>
      </c>
      <c r="H11" s="69">
        <f>SUMIF('07数值索引'!$A$5:$A$56,A11,'07数值索引'!$F$5:$F$56)</f>
        <v>-2</v>
      </c>
      <c r="I11" s="69">
        <f>SUMIF('07数值索引'!$A$5:$A$56,A11,'07数值索引'!$G$5:$G$56)</f>
        <v>0</v>
      </c>
      <c r="J11" s="66" t="s">
        <v>178</v>
      </c>
    </row>
    <row r="12" ht="54" customHeight="1" spans="1:10">
      <c r="A12" s="61" t="s">
        <v>179</v>
      </c>
      <c r="B12" s="62" t="s">
        <v>174</v>
      </c>
      <c r="C12" s="62" t="s">
        <v>151</v>
      </c>
      <c r="D12" s="62" t="s">
        <v>180</v>
      </c>
      <c r="E12" s="62" t="s">
        <v>181</v>
      </c>
      <c r="F12" s="68">
        <f>SUMIF('07数值索引'!$A$5:$A$56,A12,'07数值索引'!$D$5:$D$56)</f>
        <v>0</v>
      </c>
      <c r="G12" s="68">
        <f>SUMIF('07数值索引'!$A$5:$A$56,A12,'07数值索引'!$E$5:$E$56)</f>
        <v>0</v>
      </c>
      <c r="H12" s="68">
        <f>SUMIF('07数值索引'!$A$5:$A$56,A12,'07数值索引'!$F$5:$F$56)</f>
        <v>-1</v>
      </c>
      <c r="I12" s="68">
        <f>SUMIF('07数值索引'!$A$5:$A$56,A12,'07数值索引'!$G$5:$G$56)</f>
        <v>0</v>
      </c>
      <c r="J12" s="71" t="s">
        <v>182</v>
      </c>
    </row>
    <row r="13" ht="54" customHeight="1" spans="1:10">
      <c r="A13" s="64" t="s">
        <v>183</v>
      </c>
      <c r="B13" s="65" t="s">
        <v>174</v>
      </c>
      <c r="C13" s="65" t="s">
        <v>151</v>
      </c>
      <c r="D13" s="65" t="s">
        <v>184</v>
      </c>
      <c r="E13" s="65" t="s">
        <v>185</v>
      </c>
      <c r="F13" s="69">
        <f>SUMIF('07数值索引'!$A$5:$A$56,A13,'07数值索引'!$D$5:$D$56)</f>
        <v>1</v>
      </c>
      <c r="G13" s="69">
        <f>SUMIF('07数值索引'!$A$5:$A$56,A13,'07数值索引'!$E$5:$E$56)</f>
        <v>0</v>
      </c>
      <c r="H13" s="69">
        <f>SUMIF('07数值索引'!$A$5:$A$56,A13,'07数值索引'!$F$5:$F$56)</f>
        <v>1</v>
      </c>
      <c r="I13" s="69">
        <f>SUMIF('07数值索引'!$A$5:$A$56,A13,'07数值索引'!$G$5:$G$56)</f>
        <v>0</v>
      </c>
      <c r="J13" s="66" t="s">
        <v>186</v>
      </c>
    </row>
    <row r="14" ht="54" customHeight="1" spans="1:10">
      <c r="A14" s="61" t="s">
        <v>187</v>
      </c>
      <c r="B14" s="62" t="s">
        <v>174</v>
      </c>
      <c r="C14" s="72" t="s">
        <v>151</v>
      </c>
      <c r="D14" s="72" t="s">
        <v>188</v>
      </c>
      <c r="E14" s="62" t="s">
        <v>189</v>
      </c>
      <c r="F14" s="68">
        <f>SUMIF('07数值索引'!$A$5:$A$56,A14,'07数值索引'!$D$5:$D$56)</f>
        <v>2</v>
      </c>
      <c r="G14" s="68">
        <f>SUMIF('07数值索引'!$A$5:$A$56,A14,'07数值索引'!$E$5:$E$56)</f>
        <v>0</v>
      </c>
      <c r="H14" s="68">
        <f>SUMIF('07数值索引'!$A$5:$A$56,A14,'07数值索引'!$F$5:$F$56)</f>
        <v>1</v>
      </c>
      <c r="I14" s="68">
        <f>SUMIF('07数值索引'!$A$5:$A$56,A14,'07数值索引'!$G$5:$G$56)</f>
        <v>0</v>
      </c>
      <c r="J14" s="71" t="s">
        <v>190</v>
      </c>
    </row>
    <row r="15" ht="54" customHeight="1" spans="1:10">
      <c r="A15" s="64" t="s">
        <v>191</v>
      </c>
      <c r="B15" s="65" t="s">
        <v>192</v>
      </c>
      <c r="C15" s="65" t="s">
        <v>193</v>
      </c>
      <c r="D15" s="65" t="s">
        <v>194</v>
      </c>
      <c r="E15" s="65" t="s">
        <v>195</v>
      </c>
      <c r="F15" s="69">
        <f>SUMIF('07数值索引'!$A$5:$A$56,A15,'07数值索引'!$D$5:$D$56)</f>
        <v>3</v>
      </c>
      <c r="G15" s="69">
        <f>SUMIF('07数值索引'!$A$5:$A$56,A15,'07数值索引'!$E$5:$E$56)</f>
        <v>0</v>
      </c>
      <c r="H15" s="69">
        <f>SUMIF('07数值索引'!$A$5:$A$56,A15,'07数值索引'!$F$5:$F$56)</f>
        <v>1</v>
      </c>
      <c r="I15" s="69">
        <f>SUMIF('07数值索引'!$A$5:$A$56,A15,'07数值索引'!$G$5:$G$56)</f>
        <v>0</v>
      </c>
      <c r="J15" s="66" t="s">
        <v>196</v>
      </c>
    </row>
    <row r="16" ht="54" customHeight="1" spans="1:10">
      <c r="A16" s="61" t="s">
        <v>197</v>
      </c>
      <c r="B16" s="62" t="s">
        <v>192</v>
      </c>
      <c r="C16" s="62" t="s">
        <v>151</v>
      </c>
      <c r="D16" s="62" t="s">
        <v>198</v>
      </c>
      <c r="E16" s="62" t="s">
        <v>199</v>
      </c>
      <c r="F16" s="68">
        <f>SUMIF('07数值索引'!$A$5:$A$56,A16,'07数值索引'!$D$5:$D$56)</f>
        <v>0</v>
      </c>
      <c r="G16" s="68">
        <f>SUMIF('07数值索引'!$A$5:$A$56,A16,'07数值索引'!$E$5:$E$56)</f>
        <v>0</v>
      </c>
      <c r="H16" s="68">
        <f>SUMIF('07数值索引'!$A$5:$A$56,A16,'07数值索引'!$F$5:$F$56)</f>
        <v>-1</v>
      </c>
      <c r="I16" s="68">
        <f>SUMIF('07数值索引'!$A$5:$A$56,A16,'07数值索引'!$G$5:$G$56)</f>
        <v>0</v>
      </c>
      <c r="J16" s="63" t="s">
        <v>200</v>
      </c>
    </row>
    <row r="17" ht="54" customHeight="1" spans="1:10">
      <c r="A17" s="64" t="s">
        <v>201</v>
      </c>
      <c r="B17" s="65" t="s">
        <v>192</v>
      </c>
      <c r="C17" s="65" t="s">
        <v>151</v>
      </c>
      <c r="D17" s="65" t="s">
        <v>202</v>
      </c>
      <c r="E17" s="65" t="s">
        <v>203</v>
      </c>
      <c r="F17" s="69">
        <f>SUMIF('07数值索引'!$A$5:$A$56,A17,'07数值索引'!$D$5:$D$56)</f>
        <v>-2</v>
      </c>
      <c r="G17" s="69">
        <f>SUMIF('07数值索引'!$A$5:$A$56,A17,'07数值索引'!$E$5:$E$56)</f>
        <v>0</v>
      </c>
      <c r="H17" s="69">
        <f>SUMIF('07数值索引'!$A$5:$A$56,A17,'07数值索引'!$F$5:$F$56)</f>
        <v>-2</v>
      </c>
      <c r="I17" s="69">
        <f>SUMIF('07数值索引'!$A$5:$A$56,A17,'07数值索引'!$G$5:$G$56)</f>
        <v>0</v>
      </c>
      <c r="J17" s="66" t="s">
        <v>204</v>
      </c>
    </row>
    <row r="18" ht="54" customHeight="1" spans="1:10">
      <c r="A18" s="61" t="s">
        <v>205</v>
      </c>
      <c r="B18" s="62" t="s">
        <v>192</v>
      </c>
      <c r="C18" s="62" t="s">
        <v>151</v>
      </c>
      <c r="D18" s="62" t="s">
        <v>206</v>
      </c>
      <c r="E18" s="62" t="s">
        <v>207</v>
      </c>
      <c r="F18" s="68">
        <f>SUMIF('07数值索引'!$A$5:$A$56,A18,'07数值索引'!$D$5:$D$56)</f>
        <v>-1</v>
      </c>
      <c r="G18" s="68">
        <f>SUMIF('07数值索引'!$A$5:$A$56,A18,'07数值索引'!$E$5:$E$56)</f>
        <v>0</v>
      </c>
      <c r="H18" s="68">
        <f>SUMIF('07数值索引'!$A$5:$A$56,A18,'07数值索引'!$F$5:$F$56)</f>
        <v>-1</v>
      </c>
      <c r="I18" s="68">
        <f>SUMIF('07数值索引'!$A$5:$A$56,A18,'07数值索引'!$G$5:$G$56)</f>
        <v>0</v>
      </c>
      <c r="J18" s="63" t="s">
        <v>208</v>
      </c>
    </row>
    <row r="19" ht="54" customHeight="1" spans="1:10">
      <c r="A19" s="64" t="s">
        <v>209</v>
      </c>
      <c r="B19" s="65" t="s">
        <v>121</v>
      </c>
      <c r="C19" s="65" t="s">
        <v>210</v>
      </c>
      <c r="D19" s="65" t="s">
        <v>211</v>
      </c>
      <c r="E19" s="65" t="s">
        <v>212</v>
      </c>
      <c r="F19" s="69">
        <f>SUMIF('07数值索引'!$A$5:$A$56,A19,'07数值索引'!$D$5:$D$56)</f>
        <v>2</v>
      </c>
      <c r="G19" s="69">
        <f>SUMIF('07数值索引'!$A$5:$A$56,A19,'07数值索引'!$E$5:$E$56)</f>
        <v>0</v>
      </c>
      <c r="H19" s="69">
        <f>SUMIF('07数值索引'!$A$5:$A$56,A19,'07数值索引'!$F$5:$F$56)</f>
        <v>2</v>
      </c>
      <c r="I19" s="69">
        <f>SUMIF('07数值索引'!$A$5:$A$56,A19,'07数值索引'!$G$5:$G$56)</f>
        <v>3</v>
      </c>
      <c r="J19" s="66" t="s">
        <v>213</v>
      </c>
    </row>
    <row r="20" ht="54" customHeight="1" spans="1:10">
      <c r="A20" s="61" t="s">
        <v>214</v>
      </c>
      <c r="B20" s="62" t="s">
        <v>121</v>
      </c>
      <c r="C20" s="62" t="s">
        <v>151</v>
      </c>
      <c r="D20" s="62" t="s">
        <v>215</v>
      </c>
      <c r="E20" s="62" t="s">
        <v>216</v>
      </c>
      <c r="F20" s="68">
        <f>SUMIF('07数值索引'!$A$5:$A$56,A20,'07数值索引'!$D$5:$D$56)</f>
        <v>1</v>
      </c>
      <c r="G20" s="68">
        <f>SUMIF('07数值索引'!$A$5:$A$56,A20,'07数值索引'!$E$5:$E$56)</f>
        <v>0</v>
      </c>
      <c r="H20" s="68">
        <f>SUMIF('07数值索引'!$A$5:$A$56,A20,'07数值索引'!$F$5:$F$56)</f>
        <v>0</v>
      </c>
      <c r="I20" s="68">
        <f>SUMIF('07数值索引'!$A$5:$A$56,A20,'07数值索引'!$G$5:$G$56)</f>
        <v>-1</v>
      </c>
      <c r="J20" s="63" t="s">
        <v>217</v>
      </c>
    </row>
    <row r="21" ht="54" customHeight="1" spans="1:10">
      <c r="A21" s="64" t="s">
        <v>218</v>
      </c>
      <c r="B21" s="65" t="s">
        <v>121</v>
      </c>
      <c r="C21" s="65" t="s">
        <v>151</v>
      </c>
      <c r="D21" s="65" t="s">
        <v>219</v>
      </c>
      <c r="E21" s="65" t="s">
        <v>220</v>
      </c>
      <c r="F21" s="69">
        <f>SUMIF('07数值索引'!$A$5:$A$56,A21,'07数值索引'!$D$5:$D$56)</f>
        <v>0</v>
      </c>
      <c r="G21" s="69">
        <f>SUMIF('07数值索引'!$A$5:$A$56,A21,'07数值索引'!$E$5:$E$56)</f>
        <v>3</v>
      </c>
      <c r="H21" s="69">
        <f>SUMIF('07数值索引'!$A$5:$A$56,A21,'07数值索引'!$F$5:$F$56)</f>
        <v>0</v>
      </c>
      <c r="I21" s="69">
        <f>SUMIF('07数值索引'!$A$5:$A$56,A21,'07数值索引'!$G$5:$G$56)</f>
        <v>2</v>
      </c>
      <c r="J21" s="66" t="s">
        <v>221</v>
      </c>
    </row>
    <row r="22" ht="54" customHeight="1" spans="1:10">
      <c r="A22" s="61" t="s">
        <v>222</v>
      </c>
      <c r="B22" s="62" t="s">
        <v>121</v>
      </c>
      <c r="C22" s="62" t="s">
        <v>151</v>
      </c>
      <c r="D22" s="62" t="s">
        <v>223</v>
      </c>
      <c r="E22" s="62" t="s">
        <v>224</v>
      </c>
      <c r="F22" s="68">
        <f>SUMIF('07数值索引'!$A$5:$A$56,A22,'07数值索引'!$D$5:$D$56)</f>
        <v>-2</v>
      </c>
      <c r="G22" s="68">
        <f>SUMIF('07数值索引'!$A$5:$A$56,A22,'07数值索引'!$E$5:$E$56)</f>
        <v>0</v>
      </c>
      <c r="H22" s="68">
        <f>SUMIF('07数值索引'!$A$5:$A$56,A22,'07数值索引'!$F$5:$F$56)</f>
        <v>-2</v>
      </c>
      <c r="I22" s="68">
        <f>SUMIF('07数值索引'!$A$5:$A$56,A22,'07数值索引'!$G$5:$G$56)</f>
        <v>1</v>
      </c>
      <c r="J22" s="63" t="s">
        <v>225</v>
      </c>
    </row>
    <row r="23" ht="54" customHeight="1" spans="1:10">
      <c r="A23" s="64" t="s">
        <v>226</v>
      </c>
      <c r="B23" s="65" t="s">
        <v>121</v>
      </c>
      <c r="C23" s="65" t="s">
        <v>151</v>
      </c>
      <c r="D23" s="65" t="s">
        <v>227</v>
      </c>
      <c r="E23" s="65" t="s">
        <v>228</v>
      </c>
      <c r="F23" s="69">
        <f>SUMIF('07数值索引'!$A$5:$A$56,A23,'07数值索引'!$D$5:$D$56)</f>
        <v>-3</v>
      </c>
      <c r="G23" s="69">
        <f>SUMIF('07数值索引'!$A$5:$A$56,A23,'07数值索引'!$E$5:$E$56)</f>
        <v>0</v>
      </c>
      <c r="H23" s="69">
        <f>SUMIF('07数值索引'!$A$5:$A$56,A23,'07数值索引'!$F$5:$F$56)</f>
        <v>-3</v>
      </c>
      <c r="I23" s="69">
        <f>SUMIF('07数值索引'!$A$5:$A$56,A23,'07数值索引'!$G$5:$G$56)</f>
        <v>1</v>
      </c>
      <c r="J23" s="66" t="s">
        <v>229</v>
      </c>
    </row>
  </sheetData>
  <mergeCells count="2">
    <mergeCell ref="A1:J1"/>
    <mergeCell ref="A2:J2"/>
  </mergeCells>
  <conditionalFormatting sqref="F5:I23">
    <cfRule type="colorScale" priority="1">
      <colorScale>
        <cfvo type="min"/>
        <cfvo type="percentile" val="50"/>
        <cfvo type="max"/>
        <color rgb="FFF7E6E4"/>
        <color rgb="FFFFFFFF"/>
        <color rgb="FFE4F1E7"/>
      </colorScale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topLeftCell="A13" workbookViewId="0">
      <selection activeCell="G10" sqref="G10"/>
    </sheetView>
  </sheetViews>
  <sheetFormatPr defaultColWidth="9" defaultRowHeight="14"/>
  <cols>
    <col min="1" max="1" width="18" customWidth="1"/>
    <col min="2" max="2" width="13" customWidth="1"/>
    <col min="3" max="3" width="18" customWidth="1"/>
    <col min="4" max="4" width="20" customWidth="1"/>
    <col min="5" max="5" width="10" customWidth="1"/>
    <col min="6" max="6" width="18" customWidth="1"/>
    <col min="7" max="7" width="54" customWidth="1"/>
    <col min="8" max="11" width="9" customWidth="1"/>
    <col min="12" max="12" width="12" customWidth="1"/>
  </cols>
  <sheetData>
    <row r="1" ht="32" customHeight="1" spans="1:12">
      <c r="A1" s="28" t="s">
        <v>230</v>
      </c>
    </row>
    <row r="3" ht="30" customHeight="1" spans="1:12">
      <c r="A3" s="40" t="s">
        <v>231</v>
      </c>
      <c r="B3" s="41" t="s">
        <v>232</v>
      </c>
      <c r="C3" s="41" t="s">
        <v>233</v>
      </c>
      <c r="D3" s="41" t="s">
        <v>234</v>
      </c>
      <c r="E3" s="41" t="s">
        <v>235</v>
      </c>
      <c r="F3" s="41" t="s">
        <v>236</v>
      </c>
      <c r="G3" s="41" t="s">
        <v>237</v>
      </c>
      <c r="H3" s="41" t="s">
        <v>26</v>
      </c>
      <c r="I3" s="41" t="s">
        <v>238</v>
      </c>
      <c r="J3" s="41" t="s">
        <v>239</v>
      </c>
      <c r="K3" s="41" t="s">
        <v>240</v>
      </c>
      <c r="L3" s="42" t="s">
        <v>241</v>
      </c>
    </row>
    <row r="4" ht="62" customHeight="1" spans="1:12">
      <c r="A4" s="58" t="s">
        <v>242</v>
      </c>
      <c r="B4" s="59" t="s">
        <v>243</v>
      </c>
      <c r="C4" s="59" t="s">
        <v>244</v>
      </c>
      <c r="D4" s="59" t="s">
        <v>245</v>
      </c>
      <c r="E4" s="59" t="s">
        <v>246</v>
      </c>
      <c r="F4" s="59" t="s">
        <v>247</v>
      </c>
      <c r="G4" s="59" t="s">
        <v>248</v>
      </c>
      <c r="H4" s="67">
        <f>SUMIF('07数值索引'!$A$5:$A$56,A4,'07数值索引'!$D$5:$D$56)</f>
        <v>1</v>
      </c>
      <c r="I4" s="67">
        <f>SUMIF('07数值索引'!$A$5:$A$56,A4,'07数值索引'!$E$5:$E$56)</f>
        <v>0</v>
      </c>
      <c r="J4" s="67">
        <f>SUMIF('07数值索引'!$A$5:$A$56,A4,'07数值索引'!$F$5:$F$56)</f>
        <v>1</v>
      </c>
      <c r="K4" s="67">
        <f>SUMIF('07数值索引'!$A$5:$A$56,A4,'07数值索引'!$G$5:$G$56)</f>
        <v>0</v>
      </c>
      <c r="L4" s="60">
        <f>SUMIF('07数值索引'!$A$5:$A$56,A4,'07数值索引'!$M$5:$M$56)</f>
        <v>0</v>
      </c>
    </row>
    <row r="5" ht="62" customHeight="1" spans="1:12">
      <c r="A5" s="61" t="s">
        <v>249</v>
      </c>
      <c r="B5" s="62" t="s">
        <v>243</v>
      </c>
      <c r="C5" s="62" t="s">
        <v>250</v>
      </c>
      <c r="D5" s="62" t="s">
        <v>245</v>
      </c>
      <c r="E5" s="62" t="s">
        <v>246</v>
      </c>
      <c r="F5" s="62" t="s">
        <v>247</v>
      </c>
      <c r="G5" s="62" t="s">
        <v>251</v>
      </c>
      <c r="H5" s="68">
        <f>SUMIF('07数值索引'!$A$5:$A$56,A5,'07数值索引'!$D$5:$D$56)</f>
        <v>1</v>
      </c>
      <c r="I5" s="68">
        <f>SUMIF('07数值索引'!$A$5:$A$56,A5,'07数值索引'!$E$5:$E$56)</f>
        <v>0</v>
      </c>
      <c r="J5" s="68">
        <f>SUMIF('07数值索引'!$A$5:$A$56,A5,'07数值索引'!$F$5:$F$56)</f>
        <v>1</v>
      </c>
      <c r="K5" s="68">
        <f>SUMIF('07数值索引'!$A$5:$A$56,A5,'07数值索引'!$G$5:$G$56)</f>
        <v>1</v>
      </c>
      <c r="L5" s="63">
        <f>SUMIF('07数值索引'!$A$5:$A$56,A5,'07数值索引'!$M$5:$M$56)</f>
        <v>1</v>
      </c>
    </row>
    <row r="6" ht="62" customHeight="1" spans="1:12">
      <c r="A6" s="64" t="s">
        <v>252</v>
      </c>
      <c r="B6" s="65" t="s">
        <v>243</v>
      </c>
      <c r="C6" s="65" t="s">
        <v>253</v>
      </c>
      <c r="D6" s="65" t="s">
        <v>245</v>
      </c>
      <c r="E6" s="65" t="s">
        <v>254</v>
      </c>
      <c r="F6" s="65" t="s">
        <v>255</v>
      </c>
      <c r="G6" s="65" t="s">
        <v>256</v>
      </c>
      <c r="H6" s="69">
        <f>SUMIF('07数值索引'!$A$5:$A$56,A6,'07数值索引'!$D$5:$D$56)</f>
        <v>0</v>
      </c>
      <c r="I6" s="69">
        <f>SUMIF('07数值索引'!$A$5:$A$56,A6,'07数值索引'!$E$5:$E$56)</f>
        <v>0</v>
      </c>
      <c r="J6" s="69">
        <f>SUMIF('07数值索引'!$A$5:$A$56,A6,'07数值索引'!$F$5:$F$56)</f>
        <v>0</v>
      </c>
      <c r="K6" s="69">
        <f>SUMIF('07数值索引'!$A$5:$A$56,A6,'07数值索引'!$G$5:$G$56)</f>
        <v>0</v>
      </c>
      <c r="L6" s="66">
        <f>SUMIF('07数值索引'!$A$5:$A$56,A6,'07数值索引'!$M$5:$M$56)</f>
        <v>0</v>
      </c>
    </row>
    <row r="7" ht="62" customHeight="1" spans="1:12">
      <c r="A7" s="61" t="s">
        <v>257</v>
      </c>
      <c r="B7" s="62" t="s">
        <v>243</v>
      </c>
      <c r="C7" s="62" t="s">
        <v>244</v>
      </c>
      <c r="D7" s="62" t="s">
        <v>258</v>
      </c>
      <c r="E7" s="62" t="s">
        <v>259</v>
      </c>
      <c r="F7" s="62" t="s">
        <v>247</v>
      </c>
      <c r="G7" s="62" t="s">
        <v>260</v>
      </c>
      <c r="H7" s="68">
        <f>SUMIF('07数值索引'!$A$5:$A$56,A7,'07数值索引'!$D$5:$D$56)</f>
        <v>1</v>
      </c>
      <c r="I7" s="68">
        <f>SUMIF('07数值索引'!$A$5:$A$56,A7,'07数值索引'!$E$5:$E$56)</f>
        <v>1</v>
      </c>
      <c r="J7" s="68">
        <f>SUMIF('07数值索引'!$A$5:$A$56,A7,'07数值索引'!$F$5:$F$56)</f>
        <v>0</v>
      </c>
      <c r="K7" s="68">
        <f>SUMIF('07数值索引'!$A$5:$A$56,A7,'07数值索引'!$G$5:$G$56)</f>
        <v>1</v>
      </c>
      <c r="L7" s="63">
        <f>SUMIF('07数值索引'!$A$5:$A$56,A7,'07数值索引'!$M$5:$M$56)</f>
        <v>0</v>
      </c>
    </row>
    <row r="8" ht="62" customHeight="1" spans="1:12">
      <c r="A8" s="64" t="s">
        <v>261</v>
      </c>
      <c r="B8" s="65" t="s">
        <v>243</v>
      </c>
      <c r="C8" s="65" t="s">
        <v>250</v>
      </c>
      <c r="D8" s="65" t="s">
        <v>258</v>
      </c>
      <c r="E8" s="65" t="s">
        <v>246</v>
      </c>
      <c r="F8" s="65" t="s">
        <v>247</v>
      </c>
      <c r="G8" s="65" t="s">
        <v>262</v>
      </c>
      <c r="H8" s="69">
        <f>SUMIF('07数值索引'!$A$5:$A$56,A8,'07数值索引'!$D$5:$D$56)</f>
        <v>1</v>
      </c>
      <c r="I8" s="69">
        <f>SUMIF('07数值索引'!$A$5:$A$56,A8,'07数值索引'!$E$5:$E$56)</f>
        <v>1</v>
      </c>
      <c r="J8" s="69">
        <f>SUMIF('07数值索引'!$A$5:$A$56,A8,'07数值索引'!$F$5:$F$56)</f>
        <v>0</v>
      </c>
      <c r="K8" s="69">
        <f>SUMIF('07数值索引'!$A$5:$A$56,A8,'07数值索引'!$G$5:$G$56)</f>
        <v>2</v>
      </c>
      <c r="L8" s="66">
        <f>SUMIF('07数值索引'!$A$5:$A$56,A8,'07数值索引'!$M$5:$M$56)</f>
        <v>1</v>
      </c>
    </row>
    <row r="9" ht="62" customHeight="1" spans="1:12">
      <c r="A9" s="61" t="s">
        <v>263</v>
      </c>
      <c r="B9" s="62" t="s">
        <v>243</v>
      </c>
      <c r="C9" s="62" t="s">
        <v>253</v>
      </c>
      <c r="D9" s="62" t="s">
        <v>258</v>
      </c>
      <c r="E9" s="62" t="s">
        <v>254</v>
      </c>
      <c r="F9" s="62" t="s">
        <v>255</v>
      </c>
      <c r="G9" s="62" t="s">
        <v>264</v>
      </c>
      <c r="H9" s="68">
        <f>SUMIF('07数值索引'!$A$5:$A$56,A9,'07数值索引'!$D$5:$D$56)</f>
        <v>0</v>
      </c>
      <c r="I9" s="68">
        <f>SUMIF('07数值索引'!$A$5:$A$56,A9,'07数值索引'!$E$5:$E$56)</f>
        <v>0</v>
      </c>
      <c r="J9" s="68">
        <f>SUMIF('07数值索引'!$A$5:$A$56,A9,'07数值索引'!$F$5:$F$56)</f>
        <v>0</v>
      </c>
      <c r="K9" s="68">
        <f>SUMIF('07数值索引'!$A$5:$A$56,A9,'07数值索引'!$G$5:$G$56)</f>
        <v>0</v>
      </c>
      <c r="L9" s="63">
        <f>SUMIF('07数值索引'!$A$5:$A$56,A9,'07数值索引'!$M$5:$M$56)</f>
        <v>0</v>
      </c>
    </row>
    <row r="10" ht="62" customHeight="1" spans="1:12">
      <c r="A10" s="64" t="s">
        <v>265</v>
      </c>
      <c r="B10" s="65" t="s">
        <v>266</v>
      </c>
      <c r="C10" s="65" t="s">
        <v>244</v>
      </c>
      <c r="D10" s="65" t="s">
        <v>245</v>
      </c>
      <c r="E10" s="65" t="s">
        <v>259</v>
      </c>
      <c r="F10" s="65" t="s">
        <v>247</v>
      </c>
      <c r="G10" s="65" t="s">
        <v>267</v>
      </c>
      <c r="H10" s="69">
        <f>SUMIF('07数值索引'!$A$5:$A$56,A10,'07数值索引'!$D$5:$D$56)</f>
        <v>1</v>
      </c>
      <c r="I10" s="69">
        <f>SUMIF('07数值索引'!$A$5:$A$56,A10,'07数值索引'!$E$5:$E$56)</f>
        <v>0</v>
      </c>
      <c r="J10" s="69">
        <f>SUMIF('07数值索引'!$A$5:$A$56,A10,'07数值索引'!$F$5:$F$56)</f>
        <v>0</v>
      </c>
      <c r="K10" s="69">
        <f>SUMIF('07数值索引'!$A$5:$A$56,A10,'07数值索引'!$G$5:$G$56)</f>
        <v>0</v>
      </c>
      <c r="L10" s="66">
        <f>SUMIF('07数值索引'!$A$5:$A$56,A10,'07数值索引'!$M$5:$M$56)</f>
        <v>0</v>
      </c>
    </row>
    <row r="11" ht="62" customHeight="1" spans="1:12">
      <c r="A11" s="61" t="s">
        <v>268</v>
      </c>
      <c r="B11" s="62" t="s">
        <v>266</v>
      </c>
      <c r="C11" s="62" t="s">
        <v>250</v>
      </c>
      <c r="D11" s="62" t="s">
        <v>245</v>
      </c>
      <c r="E11" s="62" t="s">
        <v>259</v>
      </c>
      <c r="F11" s="62" t="s">
        <v>247</v>
      </c>
      <c r="G11" s="62" t="s">
        <v>269</v>
      </c>
      <c r="H11" s="68">
        <f>SUMIF('07数值索引'!$A$5:$A$56,A11,'07数值索引'!$D$5:$D$56)</f>
        <v>1</v>
      </c>
      <c r="I11" s="68">
        <f>SUMIF('07数值索引'!$A$5:$A$56,A11,'07数值索引'!$E$5:$E$56)</f>
        <v>0</v>
      </c>
      <c r="J11" s="68">
        <f>SUMIF('07数值索引'!$A$5:$A$56,A11,'07数值索引'!$F$5:$F$56)</f>
        <v>0</v>
      </c>
      <c r="K11" s="68">
        <f>SUMIF('07数值索引'!$A$5:$A$56,A11,'07数值索引'!$G$5:$G$56)</f>
        <v>1</v>
      </c>
      <c r="L11" s="63">
        <f>SUMIF('07数值索引'!$A$5:$A$56,A11,'07数值索引'!$M$5:$M$56)</f>
        <v>1</v>
      </c>
    </row>
    <row r="12" ht="62" customHeight="1" spans="1:12">
      <c r="A12" s="64" t="s">
        <v>270</v>
      </c>
      <c r="B12" s="65" t="s">
        <v>266</v>
      </c>
      <c r="C12" s="65" t="s">
        <v>253</v>
      </c>
      <c r="D12" s="65" t="s">
        <v>245</v>
      </c>
      <c r="E12" s="65" t="s">
        <v>271</v>
      </c>
      <c r="F12" s="65" t="s">
        <v>272</v>
      </c>
      <c r="G12" s="65" t="s">
        <v>273</v>
      </c>
      <c r="H12" s="69">
        <f>SUMIF('07数值索引'!$A$5:$A$56,A12,'07数值索引'!$D$5:$D$56)</f>
        <v>0</v>
      </c>
      <c r="I12" s="69">
        <f>SUMIF('07数值索引'!$A$5:$A$56,A12,'07数值索引'!$E$5:$E$56)</f>
        <v>1</v>
      </c>
      <c r="J12" s="69">
        <f>SUMIF('07数值索引'!$A$5:$A$56,A12,'07数值索引'!$F$5:$F$56)</f>
        <v>-1</v>
      </c>
      <c r="K12" s="69">
        <f>SUMIF('07数值索引'!$A$5:$A$56,A12,'07数值索引'!$G$5:$G$56)</f>
        <v>1</v>
      </c>
      <c r="L12" s="66">
        <f>SUMIF('07数值索引'!$A$5:$A$56,A12,'07数值索引'!$M$5:$M$56)</f>
        <v>0</v>
      </c>
    </row>
    <row r="13" ht="62" customHeight="1" spans="1:12">
      <c r="A13" s="61" t="s">
        <v>274</v>
      </c>
      <c r="B13" s="62" t="s">
        <v>266</v>
      </c>
      <c r="C13" s="62" t="s">
        <v>244</v>
      </c>
      <c r="D13" s="62" t="s">
        <v>258</v>
      </c>
      <c r="E13" s="62" t="s">
        <v>259</v>
      </c>
      <c r="F13" s="62" t="s">
        <v>247</v>
      </c>
      <c r="G13" s="62" t="s">
        <v>275</v>
      </c>
      <c r="H13" s="68">
        <f>SUMIF('07数值索引'!$A$5:$A$56,A13,'07数值索引'!$D$5:$D$56)</f>
        <v>1</v>
      </c>
      <c r="I13" s="68">
        <f>SUMIF('07数值索引'!$A$5:$A$56,A13,'07数值索引'!$E$5:$E$56)</f>
        <v>1</v>
      </c>
      <c r="J13" s="68">
        <f>SUMIF('07数值索引'!$A$5:$A$56,A13,'07数值索引'!$F$5:$F$56)</f>
        <v>-1</v>
      </c>
      <c r="K13" s="68">
        <f>SUMIF('07数值索引'!$A$5:$A$56,A13,'07数值索引'!$G$5:$G$56)</f>
        <v>1</v>
      </c>
      <c r="L13" s="63">
        <f>SUMIF('07数值索引'!$A$5:$A$56,A13,'07数值索引'!$M$5:$M$56)</f>
        <v>0</v>
      </c>
    </row>
    <row r="14" ht="62" customHeight="1" spans="1:12">
      <c r="A14" s="64" t="s">
        <v>276</v>
      </c>
      <c r="B14" s="65" t="s">
        <v>266</v>
      </c>
      <c r="C14" s="65" t="s">
        <v>250</v>
      </c>
      <c r="D14" s="65" t="s">
        <v>258</v>
      </c>
      <c r="E14" s="65" t="s">
        <v>277</v>
      </c>
      <c r="F14" s="65" t="s">
        <v>247</v>
      </c>
      <c r="G14" s="65" t="s">
        <v>278</v>
      </c>
      <c r="H14" s="69">
        <f>SUMIF('07数值索引'!$A$5:$A$56,A14,'07数值索引'!$D$5:$D$56)</f>
        <v>0</v>
      </c>
      <c r="I14" s="69">
        <f>SUMIF('07数值索引'!$A$5:$A$56,A14,'07数值索引'!$E$5:$E$56)</f>
        <v>2</v>
      </c>
      <c r="J14" s="69">
        <f>SUMIF('07数值索引'!$A$5:$A$56,A14,'07数值索引'!$F$5:$F$56)</f>
        <v>-1</v>
      </c>
      <c r="K14" s="69">
        <f>SUMIF('07数值索引'!$A$5:$A$56,A14,'07数值索引'!$G$5:$G$56)</f>
        <v>2</v>
      </c>
      <c r="L14" s="66">
        <f>SUMIF('07数值索引'!$A$5:$A$56,A14,'07数值索引'!$M$5:$M$56)</f>
        <v>1</v>
      </c>
    </row>
    <row r="15" ht="62" customHeight="1" spans="1:12">
      <c r="A15" s="61" t="s">
        <v>279</v>
      </c>
      <c r="B15" s="62" t="s">
        <v>266</v>
      </c>
      <c r="C15" s="62" t="s">
        <v>253</v>
      </c>
      <c r="D15" s="62" t="s">
        <v>258</v>
      </c>
      <c r="E15" s="62" t="s">
        <v>246</v>
      </c>
      <c r="F15" s="62" t="s">
        <v>247</v>
      </c>
      <c r="G15" s="62" t="s">
        <v>280</v>
      </c>
      <c r="H15" s="68">
        <f>SUMIF('07数值索引'!$A$5:$A$56,A15,'07数值索引'!$D$5:$D$56)</f>
        <v>0</v>
      </c>
      <c r="I15" s="68">
        <f>SUMIF('07数值索引'!$A$5:$A$56,A15,'07数值索引'!$E$5:$E$56)</f>
        <v>2</v>
      </c>
      <c r="J15" s="68">
        <f>SUMIF('07数值索引'!$A$5:$A$56,A15,'07数值索引'!$F$5:$F$56)</f>
        <v>-1</v>
      </c>
      <c r="K15" s="68">
        <f>SUMIF('07数值索引'!$A$5:$A$56,A15,'07数值索引'!$G$5:$G$56)</f>
        <v>2</v>
      </c>
      <c r="L15" s="63">
        <f>SUMIF('07数值索引'!$A$5:$A$56,A15,'07数值索引'!$M$5:$M$56)</f>
        <v>0</v>
      </c>
    </row>
    <row r="16" ht="62" customHeight="1" spans="1:12">
      <c r="A16" s="64" t="s">
        <v>281</v>
      </c>
      <c r="B16" s="65" t="s">
        <v>282</v>
      </c>
      <c r="C16" s="65" t="s">
        <v>244</v>
      </c>
      <c r="D16" s="65" t="s">
        <v>245</v>
      </c>
      <c r="E16" s="65" t="s">
        <v>259</v>
      </c>
      <c r="F16" s="65" t="s">
        <v>247</v>
      </c>
      <c r="G16" s="65" t="s">
        <v>283</v>
      </c>
      <c r="H16" s="69">
        <f>SUMIF('07数值索引'!$A$5:$A$56,A16,'07数值索引'!$D$5:$D$56)</f>
        <v>1</v>
      </c>
      <c r="I16" s="69">
        <f>SUMIF('07数值索引'!$A$5:$A$56,A16,'07数值索引'!$E$5:$E$56)</f>
        <v>0</v>
      </c>
      <c r="J16" s="69">
        <f>SUMIF('07数值索引'!$A$5:$A$56,A16,'07数值索引'!$F$5:$F$56)</f>
        <v>0</v>
      </c>
      <c r="K16" s="69">
        <f>SUMIF('07数值索引'!$A$5:$A$56,A16,'07数值索引'!$G$5:$G$56)</f>
        <v>0</v>
      </c>
      <c r="L16" s="66">
        <f>SUMIF('07数值索引'!$A$5:$A$56,A16,'07数值索引'!$M$5:$M$56)</f>
        <v>0</v>
      </c>
    </row>
    <row r="17" ht="62" customHeight="1" spans="1:12">
      <c r="A17" s="61" t="s">
        <v>284</v>
      </c>
      <c r="B17" s="62" t="s">
        <v>282</v>
      </c>
      <c r="C17" s="62" t="s">
        <v>250</v>
      </c>
      <c r="D17" s="62" t="s">
        <v>245</v>
      </c>
      <c r="E17" s="62" t="s">
        <v>246</v>
      </c>
      <c r="F17" s="62" t="s">
        <v>247</v>
      </c>
      <c r="G17" s="62" t="s">
        <v>285</v>
      </c>
      <c r="H17" s="68">
        <f>SUMIF('07数值索引'!$A$5:$A$56,A17,'07数值索引'!$D$5:$D$56)</f>
        <v>1</v>
      </c>
      <c r="I17" s="68">
        <f>SUMIF('07数值索引'!$A$5:$A$56,A17,'07数值索引'!$E$5:$E$56)</f>
        <v>0</v>
      </c>
      <c r="J17" s="68">
        <f>SUMIF('07数值索引'!$A$5:$A$56,A17,'07数值索引'!$F$5:$F$56)</f>
        <v>0</v>
      </c>
      <c r="K17" s="68">
        <f>SUMIF('07数值索引'!$A$5:$A$56,A17,'07数值索引'!$G$5:$G$56)</f>
        <v>0</v>
      </c>
      <c r="L17" s="63">
        <f>SUMIF('07数值索引'!$A$5:$A$56,A17,'07数值索引'!$M$5:$M$56)</f>
        <v>1</v>
      </c>
    </row>
    <row r="18" ht="62" customHeight="1" spans="1:12">
      <c r="A18" s="64" t="s">
        <v>286</v>
      </c>
      <c r="B18" s="65" t="s">
        <v>282</v>
      </c>
      <c r="C18" s="65" t="s">
        <v>253</v>
      </c>
      <c r="D18" s="65" t="s">
        <v>245</v>
      </c>
      <c r="E18" s="65" t="s">
        <v>254</v>
      </c>
      <c r="F18" s="65" t="s">
        <v>255</v>
      </c>
      <c r="G18" s="65" t="s">
        <v>287</v>
      </c>
      <c r="H18" s="69">
        <f>SUMIF('07数值索引'!$A$5:$A$56,A18,'07数值索引'!$D$5:$D$56)</f>
        <v>0</v>
      </c>
      <c r="I18" s="69">
        <f>SUMIF('07数值索引'!$A$5:$A$56,A18,'07数值索引'!$E$5:$E$56)</f>
        <v>0</v>
      </c>
      <c r="J18" s="69">
        <f>SUMIF('07数值索引'!$A$5:$A$56,A18,'07数值索引'!$F$5:$F$56)</f>
        <v>0</v>
      </c>
      <c r="K18" s="69">
        <f>SUMIF('07数值索引'!$A$5:$A$56,A18,'07数值索引'!$G$5:$G$56)</f>
        <v>0</v>
      </c>
      <c r="L18" s="66">
        <f>SUMIF('07数值索引'!$A$5:$A$56,A18,'07数值索引'!$M$5:$M$56)</f>
        <v>0</v>
      </c>
    </row>
    <row r="19" ht="62" customHeight="1" spans="1:12">
      <c r="A19" s="61" t="s">
        <v>288</v>
      </c>
      <c r="B19" s="62" t="s">
        <v>282</v>
      </c>
      <c r="C19" s="62" t="s">
        <v>244</v>
      </c>
      <c r="D19" s="62" t="s">
        <v>258</v>
      </c>
      <c r="E19" s="62" t="s">
        <v>254</v>
      </c>
      <c r="F19" s="62" t="s">
        <v>255</v>
      </c>
      <c r="G19" s="62" t="s">
        <v>289</v>
      </c>
      <c r="H19" s="68">
        <f>SUMIF('07数值索引'!$A$5:$A$56,A19,'07数值索引'!$D$5:$D$56)</f>
        <v>0</v>
      </c>
      <c r="I19" s="68">
        <f>SUMIF('07数值索引'!$A$5:$A$56,A19,'07数值索引'!$E$5:$E$56)</f>
        <v>0</v>
      </c>
      <c r="J19" s="68">
        <f>SUMIF('07数值索引'!$A$5:$A$56,A19,'07数值索引'!$F$5:$F$56)</f>
        <v>0</v>
      </c>
      <c r="K19" s="68">
        <f>SUMIF('07数值索引'!$A$5:$A$56,A19,'07数值索引'!$G$5:$G$56)</f>
        <v>0</v>
      </c>
      <c r="L19" s="63">
        <f>SUMIF('07数值索引'!$A$5:$A$56,A19,'07数值索引'!$M$5:$M$56)</f>
        <v>0</v>
      </c>
    </row>
    <row r="20" ht="62" customHeight="1" spans="1:12">
      <c r="A20" s="64" t="s">
        <v>290</v>
      </c>
      <c r="B20" s="65" t="s">
        <v>282</v>
      </c>
      <c r="C20" s="65" t="s">
        <v>250</v>
      </c>
      <c r="D20" s="65" t="s">
        <v>258</v>
      </c>
      <c r="E20" s="65" t="s">
        <v>246</v>
      </c>
      <c r="F20" s="65" t="s">
        <v>247</v>
      </c>
      <c r="G20" s="65" t="s">
        <v>291</v>
      </c>
      <c r="H20" s="69">
        <f>SUMIF('07数值索引'!$A$5:$A$56,A20,'07数值索引'!$D$5:$D$56)</f>
        <v>0</v>
      </c>
      <c r="I20" s="69">
        <f>SUMIF('07数值索引'!$A$5:$A$56,A20,'07数值索引'!$E$5:$E$56)</f>
        <v>2</v>
      </c>
      <c r="J20" s="69">
        <f>SUMIF('07数值索引'!$A$5:$A$56,A20,'07数值索引'!$F$5:$F$56)</f>
        <v>0</v>
      </c>
      <c r="K20" s="69">
        <f>SUMIF('07数值索引'!$A$5:$A$56,A20,'07数值索引'!$G$5:$G$56)</f>
        <v>2</v>
      </c>
      <c r="L20" s="66">
        <f>SUMIF('07数值索引'!$A$5:$A$56,A20,'07数值索引'!$M$5:$M$56)</f>
        <v>1</v>
      </c>
    </row>
    <row r="21" ht="62" customHeight="1" spans="1:12">
      <c r="A21" s="61" t="s">
        <v>292</v>
      </c>
      <c r="B21" s="62" t="s">
        <v>282</v>
      </c>
      <c r="C21" s="62" t="s">
        <v>253</v>
      </c>
      <c r="D21" s="62" t="s">
        <v>258</v>
      </c>
      <c r="E21" s="62" t="s">
        <v>254</v>
      </c>
      <c r="F21" s="62" t="s">
        <v>255</v>
      </c>
      <c r="G21" s="62" t="s">
        <v>293</v>
      </c>
      <c r="H21" s="68">
        <f>SUMIF('07数值索引'!$A$5:$A$56,A21,'07数值索引'!$D$5:$D$56)</f>
        <v>0</v>
      </c>
      <c r="I21" s="68">
        <f>SUMIF('07数值索引'!$A$5:$A$56,A21,'07数值索引'!$E$5:$E$56)</f>
        <v>0</v>
      </c>
      <c r="J21" s="68">
        <f>SUMIF('07数值索引'!$A$5:$A$56,A21,'07数值索引'!$F$5:$F$56)</f>
        <v>0</v>
      </c>
      <c r="K21" s="68">
        <f>SUMIF('07数值索引'!$A$5:$A$56,A21,'07数值索引'!$G$5:$G$56)</f>
        <v>0</v>
      </c>
      <c r="L21" s="63">
        <f>SUMIF('07数值索引'!$A$5:$A$56,A21,'07数值索引'!$M$5:$M$56)</f>
        <v>0</v>
      </c>
    </row>
  </sheetData>
  <mergeCells count="1">
    <mergeCell ref="A1:L1"/>
  </mergeCells>
  <conditionalFormatting sqref="E4:E21">
    <cfRule type="containsText" dxfId="0" priority="1" operator="between" text="冲突">
      <formula>NOT(ISERROR(SEARCH("冲突",E4)))</formula>
    </cfRule>
    <cfRule type="containsText" dxfId="1" priority="2" operator="between" text="核心">
      <formula>NOT(ISERROR(SEARCH("核心",E4)))</formula>
    </cfRule>
    <cfRule type="containsText" dxfId="2" priority="3" operator="between" text="关键">
      <formula>NOT(ISERROR(SEARCH("关键",E4)))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showGridLines="0" topLeftCell="A12" workbookViewId="0">
      <selection activeCell="A2" sqref="$A2:$XFD2"/>
    </sheetView>
  </sheetViews>
  <sheetFormatPr defaultColWidth="9" defaultRowHeight="14"/>
  <cols>
    <col min="1" max="1" width="14" customWidth="1"/>
    <col min="2" max="2" width="12" customWidth="1"/>
    <col min="3" max="3" width="22" customWidth="1"/>
    <col min="4" max="5" width="28" customWidth="1"/>
    <col min="6" max="6" width="34" customWidth="1"/>
    <col min="7" max="7" width="32" customWidth="1"/>
    <col min="8" max="8" width="36" customWidth="1"/>
    <col min="9" max="9" width="15" customWidth="1"/>
  </cols>
  <sheetData>
    <row r="1" ht="32" customHeight="1" spans="1:9">
      <c r="A1" s="28" t="s">
        <v>294</v>
      </c>
    </row>
    <row r="3" ht="30" customHeight="1" spans="1:9">
      <c r="A3" s="40" t="s">
        <v>295</v>
      </c>
      <c r="B3" s="41" t="s">
        <v>296</v>
      </c>
      <c r="C3" s="41" t="s">
        <v>297</v>
      </c>
      <c r="D3" s="41" t="s">
        <v>298</v>
      </c>
      <c r="E3" s="41" t="s">
        <v>299</v>
      </c>
      <c r="F3" s="41" t="s">
        <v>300</v>
      </c>
      <c r="G3" s="41" t="s">
        <v>301</v>
      </c>
      <c r="H3" s="41" t="s">
        <v>302</v>
      </c>
      <c r="I3" s="42" t="s">
        <v>303</v>
      </c>
    </row>
    <row r="4" ht="65" customHeight="1" spans="1:9">
      <c r="A4" s="58" t="s">
        <v>304</v>
      </c>
      <c r="B4" s="59" t="s">
        <v>305</v>
      </c>
      <c r="C4" s="59" t="s">
        <v>306</v>
      </c>
      <c r="D4" s="59" t="s">
        <v>307</v>
      </c>
      <c r="E4" s="59" t="s">
        <v>308</v>
      </c>
      <c r="F4" s="59" t="s">
        <v>309</v>
      </c>
      <c r="G4" s="59" t="s">
        <v>310</v>
      </c>
      <c r="H4" s="59" t="s">
        <v>311</v>
      </c>
      <c r="I4" s="60" t="s">
        <v>312</v>
      </c>
    </row>
    <row r="5" ht="65" customHeight="1" spans="1:9">
      <c r="A5" s="61" t="s">
        <v>313</v>
      </c>
      <c r="B5" s="62" t="s">
        <v>305</v>
      </c>
      <c r="C5" s="62" t="s">
        <v>314</v>
      </c>
      <c r="D5" s="62" t="s">
        <v>315</v>
      </c>
      <c r="E5" s="62" t="s">
        <v>316</v>
      </c>
      <c r="F5" s="62" t="s">
        <v>317</v>
      </c>
      <c r="G5" s="62" t="s">
        <v>318</v>
      </c>
      <c r="H5" s="62" t="s">
        <v>319</v>
      </c>
      <c r="I5" s="63" t="s">
        <v>320</v>
      </c>
    </row>
    <row r="6" ht="65" customHeight="1" spans="1:9">
      <c r="A6" s="64" t="s">
        <v>321</v>
      </c>
      <c r="B6" s="65" t="s">
        <v>305</v>
      </c>
      <c r="C6" s="65" t="s">
        <v>322</v>
      </c>
      <c r="D6" s="65" t="s">
        <v>323</v>
      </c>
      <c r="E6" s="65" t="s">
        <v>324</v>
      </c>
      <c r="F6" s="65" t="s">
        <v>325</v>
      </c>
      <c r="G6" s="65" t="s">
        <v>326</v>
      </c>
      <c r="H6" s="65" t="s">
        <v>327</v>
      </c>
      <c r="I6" s="66" t="s">
        <v>328</v>
      </c>
    </row>
    <row r="7" ht="65" customHeight="1" spans="1:9">
      <c r="A7" s="61" t="s">
        <v>329</v>
      </c>
      <c r="B7" s="62" t="s">
        <v>330</v>
      </c>
      <c r="C7" s="62" t="s">
        <v>331</v>
      </c>
      <c r="D7" s="62" t="s">
        <v>332</v>
      </c>
      <c r="E7" s="62" t="s">
        <v>333</v>
      </c>
      <c r="F7" s="62" t="s">
        <v>334</v>
      </c>
      <c r="G7" s="62" t="s">
        <v>335</v>
      </c>
      <c r="H7" s="62" t="s">
        <v>336</v>
      </c>
      <c r="I7" s="63" t="s">
        <v>312</v>
      </c>
    </row>
    <row r="8" ht="65" customHeight="1" spans="1:9">
      <c r="A8" s="64" t="s">
        <v>337</v>
      </c>
      <c r="B8" s="65" t="s">
        <v>330</v>
      </c>
      <c r="C8" s="65" t="s">
        <v>338</v>
      </c>
      <c r="D8" s="65" t="s">
        <v>339</v>
      </c>
      <c r="E8" s="65" t="s">
        <v>340</v>
      </c>
      <c r="F8" s="65" t="s">
        <v>341</v>
      </c>
      <c r="G8" s="65" t="s">
        <v>342</v>
      </c>
      <c r="H8" s="65" t="s">
        <v>343</v>
      </c>
      <c r="I8" s="66" t="s">
        <v>344</v>
      </c>
    </row>
    <row r="9" ht="65" customHeight="1" spans="1:9">
      <c r="A9" s="61" t="s">
        <v>345</v>
      </c>
      <c r="B9" s="62" t="s">
        <v>330</v>
      </c>
      <c r="C9" s="62" t="s">
        <v>346</v>
      </c>
      <c r="D9" s="62" t="s">
        <v>347</v>
      </c>
      <c r="E9" s="62" t="s">
        <v>348</v>
      </c>
      <c r="F9" s="62" t="s">
        <v>349</v>
      </c>
      <c r="G9" s="62" t="s">
        <v>350</v>
      </c>
      <c r="H9" s="62" t="s">
        <v>351</v>
      </c>
      <c r="I9" s="63" t="s">
        <v>352</v>
      </c>
    </row>
    <row r="10" ht="65" customHeight="1" spans="1:9">
      <c r="A10" s="64" t="s">
        <v>353</v>
      </c>
      <c r="B10" s="65" t="s">
        <v>330</v>
      </c>
      <c r="C10" s="65" t="s">
        <v>354</v>
      </c>
      <c r="D10" s="65" t="s">
        <v>355</v>
      </c>
      <c r="E10" s="65" t="s">
        <v>356</v>
      </c>
      <c r="F10" s="65" t="s">
        <v>357</v>
      </c>
      <c r="G10" s="65" t="s">
        <v>358</v>
      </c>
      <c r="H10" s="65" t="s">
        <v>359</v>
      </c>
      <c r="I10" s="66" t="s">
        <v>360</v>
      </c>
    </row>
    <row r="11" ht="65" customHeight="1" spans="1:9">
      <c r="A11" s="61" t="s">
        <v>361</v>
      </c>
      <c r="B11" s="62" t="s">
        <v>362</v>
      </c>
      <c r="C11" s="62" t="s">
        <v>363</v>
      </c>
      <c r="D11" s="62" t="s">
        <v>364</v>
      </c>
      <c r="E11" s="62" t="s">
        <v>365</v>
      </c>
      <c r="F11" s="62" t="s">
        <v>366</v>
      </c>
      <c r="G11" s="62" t="s">
        <v>367</v>
      </c>
      <c r="H11" s="62" t="s">
        <v>368</v>
      </c>
      <c r="I11" s="63" t="s">
        <v>369</v>
      </c>
    </row>
    <row r="12" ht="65" customHeight="1" spans="1:9">
      <c r="A12" s="64" t="s">
        <v>370</v>
      </c>
      <c r="B12" s="65" t="s">
        <v>362</v>
      </c>
      <c r="C12" s="65" t="s">
        <v>371</v>
      </c>
      <c r="D12" s="65" t="s">
        <v>372</v>
      </c>
      <c r="E12" s="65" t="s">
        <v>373</v>
      </c>
      <c r="F12" s="65" t="s">
        <v>374</v>
      </c>
      <c r="G12" s="65" t="s">
        <v>375</v>
      </c>
      <c r="H12" s="65" t="s">
        <v>376</v>
      </c>
      <c r="I12" s="66" t="s">
        <v>377</v>
      </c>
    </row>
    <row r="13" ht="65" customHeight="1" spans="1:9">
      <c r="A13" s="61" t="s">
        <v>378</v>
      </c>
      <c r="B13" s="62" t="s">
        <v>362</v>
      </c>
      <c r="C13" s="62" t="s">
        <v>379</v>
      </c>
      <c r="D13" s="62" t="s">
        <v>380</v>
      </c>
      <c r="E13" s="62" t="s">
        <v>381</v>
      </c>
      <c r="F13" s="62" t="s">
        <v>382</v>
      </c>
      <c r="G13" s="62" t="s">
        <v>383</v>
      </c>
      <c r="H13" s="62" t="s">
        <v>384</v>
      </c>
      <c r="I13" s="63" t="s">
        <v>377</v>
      </c>
    </row>
    <row r="14" ht="65" customHeight="1" spans="1:9">
      <c r="A14" s="64" t="s">
        <v>385</v>
      </c>
      <c r="B14" s="65" t="s">
        <v>386</v>
      </c>
      <c r="C14" s="65" t="s">
        <v>387</v>
      </c>
      <c r="D14" s="65" t="s">
        <v>388</v>
      </c>
      <c r="E14" s="65" t="s">
        <v>389</v>
      </c>
      <c r="F14" s="65" t="s">
        <v>309</v>
      </c>
      <c r="G14" s="65" t="s">
        <v>390</v>
      </c>
      <c r="H14" s="65" t="s">
        <v>391</v>
      </c>
      <c r="I14" s="66" t="s">
        <v>392</v>
      </c>
    </row>
    <row r="15" ht="65" customHeight="1" spans="1:9">
      <c r="A15" s="61" t="s">
        <v>393</v>
      </c>
      <c r="B15" s="62" t="s">
        <v>386</v>
      </c>
      <c r="C15" s="62" t="s">
        <v>394</v>
      </c>
      <c r="D15" s="62" t="s">
        <v>395</v>
      </c>
      <c r="E15" s="62" t="s">
        <v>396</v>
      </c>
      <c r="F15" s="62" t="s">
        <v>309</v>
      </c>
      <c r="G15" s="62" t="s">
        <v>397</v>
      </c>
      <c r="H15" s="62" t="s">
        <v>398</v>
      </c>
      <c r="I15" s="63" t="s">
        <v>392</v>
      </c>
    </row>
    <row r="16" ht="65" customHeight="1" spans="1:9">
      <c r="A16" s="64" t="s">
        <v>399</v>
      </c>
      <c r="B16" s="65" t="s">
        <v>400</v>
      </c>
      <c r="C16" s="65" t="s">
        <v>401</v>
      </c>
      <c r="D16" s="65" t="s">
        <v>402</v>
      </c>
      <c r="E16" s="65" t="s">
        <v>309</v>
      </c>
      <c r="F16" s="65" t="s">
        <v>403</v>
      </c>
      <c r="G16" s="65" t="s">
        <v>404</v>
      </c>
      <c r="H16" s="65" t="s">
        <v>405</v>
      </c>
      <c r="I16" s="66" t="s">
        <v>406</v>
      </c>
    </row>
    <row r="17" ht="65" customHeight="1" spans="1:9">
      <c r="A17" s="61" t="s">
        <v>407</v>
      </c>
      <c r="B17" s="62" t="s">
        <v>400</v>
      </c>
      <c r="C17" s="62" t="s">
        <v>408</v>
      </c>
      <c r="D17" s="62" t="s">
        <v>402</v>
      </c>
      <c r="E17" s="62" t="s">
        <v>409</v>
      </c>
      <c r="F17" s="62" t="s">
        <v>410</v>
      </c>
      <c r="G17" s="62" t="s">
        <v>411</v>
      </c>
      <c r="H17" s="62" t="s">
        <v>412</v>
      </c>
      <c r="I17" s="63" t="s">
        <v>406</v>
      </c>
    </row>
    <row r="18" ht="65" customHeight="1" spans="1:9">
      <c r="A18" s="64" t="s">
        <v>413</v>
      </c>
      <c r="B18" s="65" t="s">
        <v>400</v>
      </c>
      <c r="C18" s="65" t="s">
        <v>414</v>
      </c>
      <c r="D18" s="65" t="s">
        <v>402</v>
      </c>
      <c r="E18" s="65" t="s">
        <v>309</v>
      </c>
      <c r="F18" s="65" t="s">
        <v>309</v>
      </c>
      <c r="G18" s="65" t="s">
        <v>415</v>
      </c>
      <c r="H18" s="65" t="s">
        <v>416</v>
      </c>
      <c r="I18" s="66" t="s">
        <v>406</v>
      </c>
    </row>
    <row r="19" ht="65" customHeight="1" spans="1:9">
      <c r="A19" s="61" t="s">
        <v>417</v>
      </c>
      <c r="B19" s="62" t="s">
        <v>400</v>
      </c>
      <c r="C19" s="62" t="s">
        <v>418</v>
      </c>
      <c r="D19" s="62" t="s">
        <v>402</v>
      </c>
      <c r="E19" s="62" t="s">
        <v>419</v>
      </c>
      <c r="F19" s="62" t="s">
        <v>420</v>
      </c>
      <c r="G19" s="62" t="s">
        <v>421</v>
      </c>
      <c r="H19" s="62" t="s">
        <v>422</v>
      </c>
      <c r="I19" s="63" t="s">
        <v>406</v>
      </c>
    </row>
    <row r="20" ht="55" customHeight="1" spans="1:9">
      <c r="A20" s="5" t="s">
        <v>423</v>
      </c>
      <c r="B20" s="5" t="s">
        <v>424</v>
      </c>
      <c r="C20" s="5" t="s">
        <v>425</v>
      </c>
      <c r="D20" s="5" t="s">
        <v>426</v>
      </c>
      <c r="E20" s="5" t="s">
        <v>427</v>
      </c>
      <c r="F20" s="5" t="s">
        <v>428</v>
      </c>
      <c r="G20" s="5" t="s">
        <v>429</v>
      </c>
      <c r="H20" s="5" t="s">
        <v>430</v>
      </c>
      <c r="I20" s="5" t="s">
        <v>431</v>
      </c>
    </row>
  </sheetData>
  <mergeCells count="1">
    <mergeCell ref="A1:I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showGridLines="0" workbookViewId="0">
      <selection activeCell="A1" sqref="A1:M1"/>
    </sheetView>
  </sheetViews>
  <sheetFormatPr defaultColWidth="9" defaultRowHeight="14"/>
  <cols>
    <col min="1" max="1" width="18" customWidth="1"/>
    <col min="2" max="2" width="16" customWidth="1"/>
    <col min="3" max="3" width="18" customWidth="1"/>
    <col min="4" max="4" width="36" customWidth="1"/>
    <col min="5" max="5" width="48" customWidth="1"/>
    <col min="6" max="9" width="10" customWidth="1"/>
    <col min="10" max="13" width="12" customWidth="1"/>
  </cols>
  <sheetData>
    <row r="1" ht="28" customHeight="1" spans="1:13">
      <c r="A1" s="1" t="s">
        <v>432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4" customHeight="1" spans="1:13">
      <c r="A2" s="2" t="s">
        <v>433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30" customHeight="1" spans="1:13">
      <c r="A4" s="3" t="s">
        <v>434</v>
      </c>
      <c r="B4" s="3" t="s">
        <v>400</v>
      </c>
      <c r="C4" s="3" t="s">
        <v>435</v>
      </c>
      <c r="D4" s="3" t="s">
        <v>436</v>
      </c>
      <c r="E4" s="3" t="s">
        <v>437</v>
      </c>
      <c r="F4" s="3" t="s">
        <v>26</v>
      </c>
      <c r="G4" s="3" t="s">
        <v>238</v>
      </c>
      <c r="H4" s="3" t="s">
        <v>239</v>
      </c>
      <c r="I4" s="3" t="s">
        <v>240</v>
      </c>
      <c r="J4" s="3" t="s">
        <v>438</v>
      </c>
      <c r="K4" s="3" t="s">
        <v>439</v>
      </c>
      <c r="L4" s="3" t="s">
        <v>440</v>
      </c>
      <c r="M4" s="3" t="s">
        <v>241</v>
      </c>
    </row>
    <row r="5" ht="54" customHeight="1" spans="1:13">
      <c r="A5" s="5" t="s">
        <v>441</v>
      </c>
      <c r="B5" s="5" t="s">
        <v>442</v>
      </c>
      <c r="C5" s="5" t="s">
        <v>443</v>
      </c>
      <c r="D5" s="5" t="s">
        <v>444</v>
      </c>
      <c r="E5" s="5" t="s">
        <v>445</v>
      </c>
      <c r="F5" s="5">
        <f>SUMIF('07数值索引'!$A$5:$A$80,$A5,'07数值索引'!$D$5:$D$80)</f>
        <v>2</v>
      </c>
      <c r="G5" s="5">
        <f>SUMIF('07数值索引'!$A$5:$A$80,$A5,'07数值索引'!$E$5:$E$80)</f>
        <v>0</v>
      </c>
      <c r="H5" s="5">
        <f>SUMIF('07数值索引'!$A$5:$A$80,$A5,'07数值索引'!$F$5:$F$80)</f>
        <v>1</v>
      </c>
      <c r="I5" s="5">
        <f>SUMIF('07数值索引'!$A$5:$A$80,$A5,'07数值索引'!$G$5:$G$80)</f>
        <v>0</v>
      </c>
      <c r="J5" s="5">
        <f>SUMIF('07数值索引'!$A$5:$A$80,$A5,'07数值索引'!$H$5:$H$80)</f>
        <v>1</v>
      </c>
      <c r="K5" s="5">
        <f>SUMIF('07数值索引'!$A$5:$A$80,$A5,'07数值索引'!$I$5:$I$80)</f>
        <v>0</v>
      </c>
      <c r="L5" s="5">
        <f>SUMIF('07数值索引'!$A$5:$A$80,$A5,'07数值索引'!$J$5:$J$80)</f>
        <v>0</v>
      </c>
      <c r="M5" s="5">
        <f>SUMIF('07数值索引'!$A$5:$A$80,$A5,'07数值索引'!$M$5:$M$80)</f>
        <v>0</v>
      </c>
    </row>
    <row r="6" ht="54" customHeight="1" spans="1:13">
      <c r="A6" s="8" t="s">
        <v>446</v>
      </c>
      <c r="B6" s="8" t="s">
        <v>442</v>
      </c>
      <c r="C6" s="8" t="s">
        <v>447</v>
      </c>
      <c r="D6" s="8" t="s">
        <v>448</v>
      </c>
      <c r="E6" s="8" t="s">
        <v>449</v>
      </c>
      <c r="F6" s="8">
        <f>SUMIF('07数值索引'!$A$5:$A$80,$A6,'07数值索引'!$D$5:$D$80)</f>
        <v>2</v>
      </c>
      <c r="G6" s="8">
        <f>SUMIF('07数值索引'!$A$5:$A$80,$A6,'07数值索引'!$E$5:$E$80)</f>
        <v>0</v>
      </c>
      <c r="H6" s="8">
        <f>SUMIF('07数值索引'!$A$5:$A$80,$A6,'07数值索引'!$F$5:$F$80)</f>
        <v>0</v>
      </c>
      <c r="I6" s="8">
        <f>SUMIF('07数值索引'!$A$5:$A$80,$A6,'07数值索引'!$G$5:$G$80)</f>
        <v>0</v>
      </c>
      <c r="J6" s="8">
        <f>SUMIF('07数值索引'!$A$5:$A$80,$A6,'07数值索引'!$H$5:$H$80)</f>
        <v>1</v>
      </c>
      <c r="K6" s="8">
        <f>SUMIF('07数值索引'!$A$5:$A$80,$A6,'07数值索引'!$I$5:$I$80)</f>
        <v>0</v>
      </c>
      <c r="L6" s="8">
        <f>SUMIF('07数值索引'!$A$5:$A$80,$A6,'07数值索引'!$J$5:$J$80)</f>
        <v>0</v>
      </c>
      <c r="M6" s="8">
        <f>SUMIF('07数值索引'!$A$5:$A$80,$A6,'07数值索引'!$M$5:$M$80)</f>
        <v>1</v>
      </c>
    </row>
    <row r="7" ht="54" customHeight="1" spans="1:13">
      <c r="A7" s="8" t="s">
        <v>450</v>
      </c>
      <c r="B7" s="8" t="s">
        <v>442</v>
      </c>
      <c r="C7" s="8" t="s">
        <v>451</v>
      </c>
      <c r="D7" s="8" t="s">
        <v>452</v>
      </c>
      <c r="E7" s="8" t="s">
        <v>453</v>
      </c>
      <c r="F7" s="8">
        <f>SUMIF('07数值索引'!$A$5:$A$80,$A7,'07数值索引'!$D$5:$D$80)</f>
        <v>1</v>
      </c>
      <c r="G7" s="8">
        <f>SUMIF('07数值索引'!$A$5:$A$80,$A7,'07数值索引'!$E$5:$E$80)</f>
        <v>2</v>
      </c>
      <c r="H7" s="8">
        <f>SUMIF('07数值索引'!$A$5:$A$80,$A7,'07数值索引'!$F$5:$F$80)</f>
        <v>0</v>
      </c>
      <c r="I7" s="8">
        <f>SUMIF('07数值索引'!$A$5:$A$80,$A7,'07数值索引'!$G$5:$G$80)</f>
        <v>1</v>
      </c>
      <c r="J7" s="8">
        <f>SUMIF('07数值索引'!$A$5:$A$80,$A7,'07数值索引'!$H$5:$H$80)</f>
        <v>1</v>
      </c>
      <c r="K7" s="8">
        <f>SUMIF('07数值索引'!$A$5:$A$80,$A7,'07数值索引'!$I$5:$I$80)</f>
        <v>0</v>
      </c>
      <c r="L7" s="8">
        <f>SUMIF('07数值索引'!$A$5:$A$80,$A7,'07数值索引'!$J$5:$J$80)</f>
        <v>0</v>
      </c>
      <c r="M7" s="8">
        <f>SUMIF('07数值索引'!$A$5:$A$80,$A7,'07数值索引'!$M$5:$M$80)</f>
        <v>0</v>
      </c>
    </row>
    <row r="8" ht="54" customHeight="1" spans="1:13">
      <c r="A8" s="8" t="s">
        <v>454</v>
      </c>
      <c r="B8" s="8" t="s">
        <v>442</v>
      </c>
      <c r="C8" s="8" t="s">
        <v>455</v>
      </c>
      <c r="D8" s="8" t="s">
        <v>309</v>
      </c>
      <c r="E8" s="8" t="s">
        <v>456</v>
      </c>
      <c r="F8" s="8">
        <f>SUMIF('07数值索引'!$A$5:$A$80,$A8,'07数值索引'!$D$5:$D$80)</f>
        <v>-2</v>
      </c>
      <c r="G8" s="8">
        <f>SUMIF('07数值索引'!$A$5:$A$80,$A8,'07数值索引'!$E$5:$E$80)</f>
        <v>0</v>
      </c>
      <c r="H8" s="8">
        <f>SUMIF('07数值索引'!$A$5:$A$80,$A8,'07数值索引'!$F$5:$F$80)</f>
        <v>0</v>
      </c>
      <c r="I8" s="8">
        <f>SUMIF('07数值索引'!$A$5:$A$80,$A8,'07数值索引'!$G$5:$G$80)</f>
        <v>0</v>
      </c>
      <c r="J8" s="8">
        <f>SUMIF('07数值索引'!$A$5:$A$80,$A8,'07数值索引'!$H$5:$H$80)</f>
        <v>0</v>
      </c>
      <c r="K8" s="8">
        <f>SUMIF('07数值索引'!$A$5:$A$80,$A8,'07数值索引'!$I$5:$I$80)</f>
        <v>1</v>
      </c>
      <c r="L8" s="8">
        <f>SUMIF('07数值索引'!$A$5:$A$80,$A8,'07数值索引'!$J$5:$J$80)</f>
        <v>0</v>
      </c>
      <c r="M8" s="8">
        <f>SUMIF('07数值索引'!$A$5:$A$80,$A8,'07数值索引'!$M$5:$M$80)</f>
        <v>0</v>
      </c>
    </row>
    <row r="9" ht="54" customHeight="1" spans="1:13">
      <c r="A9" s="8" t="s">
        <v>457</v>
      </c>
      <c r="B9" s="8" t="s">
        <v>458</v>
      </c>
      <c r="C9" s="8" t="s">
        <v>443</v>
      </c>
      <c r="D9" s="8" t="s">
        <v>459</v>
      </c>
      <c r="E9" s="8" t="s">
        <v>460</v>
      </c>
      <c r="F9" s="8">
        <f>SUMIF('07数值索引'!$A$5:$A$80,$A9,'07数值索引'!$D$5:$D$80)</f>
        <v>2</v>
      </c>
      <c r="G9" s="8">
        <f>SUMIF('07数值索引'!$A$5:$A$80,$A9,'07数值索引'!$E$5:$E$80)</f>
        <v>0</v>
      </c>
      <c r="H9" s="8">
        <f>SUMIF('07数值索引'!$A$5:$A$80,$A9,'07数值索引'!$F$5:$F$80)</f>
        <v>1</v>
      </c>
      <c r="I9" s="8">
        <f>SUMIF('07数值索引'!$A$5:$A$80,$A9,'07数值索引'!$G$5:$G$80)</f>
        <v>0</v>
      </c>
      <c r="J9" s="8">
        <f>SUMIF('07数值索引'!$A$5:$A$80,$A9,'07数值索引'!$H$5:$H$80)</f>
        <v>1</v>
      </c>
      <c r="K9" s="8">
        <f>SUMIF('07数值索引'!$A$5:$A$80,$A9,'07数值索引'!$I$5:$I$80)</f>
        <v>0</v>
      </c>
      <c r="L9" s="8">
        <f>SUMIF('07数值索引'!$A$5:$A$80,$A9,'07数值索引'!$J$5:$J$80)</f>
        <v>0</v>
      </c>
      <c r="M9" s="8">
        <f>SUMIF('07数值索引'!$A$5:$A$80,$A9,'07数值索引'!$M$5:$M$80)</f>
        <v>0</v>
      </c>
    </row>
    <row r="10" ht="54" customHeight="1" spans="1:13">
      <c r="A10" s="8" t="s">
        <v>461</v>
      </c>
      <c r="B10" s="8" t="s">
        <v>458</v>
      </c>
      <c r="C10" s="8" t="s">
        <v>447</v>
      </c>
      <c r="D10" s="8" t="s">
        <v>462</v>
      </c>
      <c r="E10" s="8" t="s">
        <v>463</v>
      </c>
      <c r="F10" s="8">
        <f>SUMIF('07数值索引'!$A$5:$A$80,$A10,'07数值索引'!$D$5:$D$80)</f>
        <v>2</v>
      </c>
      <c r="G10" s="8">
        <f>SUMIF('07数值索引'!$A$5:$A$80,$A10,'07数值索引'!$E$5:$E$80)</f>
        <v>0</v>
      </c>
      <c r="H10" s="8">
        <f>SUMIF('07数值索引'!$A$5:$A$80,$A10,'07数值索引'!$F$5:$F$80)</f>
        <v>0</v>
      </c>
      <c r="I10" s="8">
        <f>SUMIF('07数值索引'!$A$5:$A$80,$A10,'07数值索引'!$G$5:$G$80)</f>
        <v>0</v>
      </c>
      <c r="J10" s="8">
        <f>SUMIF('07数值索引'!$A$5:$A$80,$A10,'07数值索引'!$H$5:$H$80)</f>
        <v>1</v>
      </c>
      <c r="K10" s="8">
        <f>SUMIF('07数值索引'!$A$5:$A$80,$A10,'07数值索引'!$I$5:$I$80)</f>
        <v>0</v>
      </c>
      <c r="L10" s="8">
        <f>SUMIF('07数值索引'!$A$5:$A$80,$A10,'07数值索引'!$J$5:$J$80)</f>
        <v>0</v>
      </c>
      <c r="M10" s="8">
        <f>SUMIF('07数值索引'!$A$5:$A$80,$A10,'07数值索引'!$M$5:$M$80)</f>
        <v>1</v>
      </c>
    </row>
    <row r="11" ht="54" customHeight="1" spans="1:13">
      <c r="A11" s="8" t="s">
        <v>464</v>
      </c>
      <c r="B11" s="8" t="s">
        <v>458</v>
      </c>
      <c r="C11" s="8" t="s">
        <v>451</v>
      </c>
      <c r="D11" s="8" t="s">
        <v>465</v>
      </c>
      <c r="E11" s="8" t="s">
        <v>466</v>
      </c>
      <c r="F11" s="8">
        <f>SUMIF('07数值索引'!$A$5:$A$80,$A11,'07数值索引'!$D$5:$D$80)</f>
        <v>0</v>
      </c>
      <c r="G11" s="8">
        <f>SUMIF('07数值索引'!$A$5:$A$80,$A11,'07数值索引'!$E$5:$E$80)</f>
        <v>2</v>
      </c>
      <c r="H11" s="8">
        <f>SUMIF('07数值索引'!$A$5:$A$80,$A11,'07数值索引'!$F$5:$F$80)</f>
        <v>0</v>
      </c>
      <c r="I11" s="8">
        <f>SUMIF('07数值索引'!$A$5:$A$80,$A11,'07数值索引'!$G$5:$G$80)</f>
        <v>1</v>
      </c>
      <c r="J11" s="8">
        <f>SUMIF('07数值索引'!$A$5:$A$80,$A11,'07数值索引'!$H$5:$H$80)</f>
        <v>1</v>
      </c>
      <c r="K11" s="8">
        <f>SUMIF('07数值索引'!$A$5:$A$80,$A11,'07数值索引'!$I$5:$I$80)</f>
        <v>0</v>
      </c>
      <c r="L11" s="8">
        <f>SUMIF('07数值索引'!$A$5:$A$80,$A11,'07数值索引'!$J$5:$J$80)</f>
        <v>0</v>
      </c>
      <c r="M11" s="8">
        <f>SUMIF('07数值索引'!$A$5:$A$80,$A11,'07数值索引'!$M$5:$M$80)</f>
        <v>0</v>
      </c>
    </row>
    <row r="12" ht="54" customHeight="1" spans="1:13">
      <c r="A12" s="8" t="s">
        <v>467</v>
      </c>
      <c r="B12" s="8" t="s">
        <v>458</v>
      </c>
      <c r="C12" s="8" t="s">
        <v>455</v>
      </c>
      <c r="D12" s="8" t="s">
        <v>309</v>
      </c>
      <c r="E12" s="8" t="s">
        <v>468</v>
      </c>
      <c r="F12" s="8">
        <f>SUMIF('07数值索引'!$A$5:$A$80,$A12,'07数值索引'!$D$5:$D$80)</f>
        <v>-1</v>
      </c>
      <c r="G12" s="8">
        <f>SUMIF('07数值索引'!$A$5:$A$80,$A12,'07数值索引'!$E$5:$E$80)</f>
        <v>0</v>
      </c>
      <c r="H12" s="8">
        <f>SUMIF('07数值索引'!$A$5:$A$80,$A12,'07数值索引'!$F$5:$F$80)</f>
        <v>0</v>
      </c>
      <c r="I12" s="8">
        <f>SUMIF('07数值索引'!$A$5:$A$80,$A12,'07数值索引'!$G$5:$G$80)</f>
        <v>0</v>
      </c>
      <c r="J12" s="8">
        <f>SUMIF('07数值索引'!$A$5:$A$80,$A12,'07数值索引'!$H$5:$H$80)</f>
        <v>0</v>
      </c>
      <c r="K12" s="8">
        <f>SUMIF('07数值索引'!$A$5:$A$80,$A12,'07数值索引'!$I$5:$I$80)</f>
        <v>1</v>
      </c>
      <c r="L12" s="8">
        <f>SUMIF('07数值索引'!$A$5:$A$80,$A12,'07数值索引'!$J$5:$J$80)</f>
        <v>0</v>
      </c>
      <c r="M12" s="8">
        <f>SUMIF('07数值索引'!$A$5:$A$80,$A12,'07数值索引'!$M$5:$M$80)</f>
        <v>0</v>
      </c>
    </row>
    <row r="13" ht="54" customHeight="1" spans="1:13">
      <c r="A13" s="8" t="s">
        <v>469</v>
      </c>
      <c r="B13" s="8" t="s">
        <v>470</v>
      </c>
      <c r="C13" s="8" t="s">
        <v>471</v>
      </c>
      <c r="D13" s="8" t="s">
        <v>309</v>
      </c>
      <c r="E13" s="8" t="s">
        <v>472</v>
      </c>
      <c r="F13" s="8">
        <f>SUMIF('07数值索引'!$A$5:$A$80,$A13,'07数值索引'!$D$5:$D$80)</f>
        <v>2</v>
      </c>
      <c r="G13" s="8">
        <f>SUMIF('07数值索引'!$A$5:$A$80,$A13,'07数值索引'!$E$5:$E$80)</f>
        <v>0</v>
      </c>
      <c r="H13" s="8">
        <f>SUMIF('07数值索引'!$A$5:$A$80,$A13,'07数值索引'!$F$5:$F$80)</f>
        <v>1</v>
      </c>
      <c r="I13" s="8">
        <f>SUMIF('07数值索引'!$A$5:$A$80,$A13,'07数值索引'!$G$5:$G$80)</f>
        <v>0</v>
      </c>
      <c r="J13" s="8">
        <f>SUMIF('07数值索引'!$A$5:$A$80,$A13,'07数值索引'!$H$5:$H$80)</f>
        <v>0</v>
      </c>
      <c r="K13" s="8">
        <f>SUMIF('07数值索引'!$A$5:$A$80,$A13,'07数值索引'!$I$5:$I$80)</f>
        <v>0</v>
      </c>
      <c r="L13" s="8">
        <f>SUMIF('07数值索引'!$A$5:$A$80,$A13,'07数值索引'!$J$5:$J$80)</f>
        <v>0</v>
      </c>
      <c r="M13" s="8">
        <f>SUMIF('07数值索引'!$A$5:$A$80,$A13,'07数值索引'!$M$5:$M$80)</f>
        <v>0</v>
      </c>
    </row>
    <row r="14" ht="54" customHeight="1" spans="1:13">
      <c r="A14" s="8" t="s">
        <v>473</v>
      </c>
      <c r="B14" s="8" t="s">
        <v>470</v>
      </c>
      <c r="C14" s="8" t="s">
        <v>474</v>
      </c>
      <c r="D14" s="8" t="s">
        <v>309</v>
      </c>
      <c r="E14" s="8" t="s">
        <v>475</v>
      </c>
      <c r="F14" s="8">
        <f>SUMIF('07数值索引'!$A$5:$A$80,$A14,'07数值索引'!$D$5:$D$80)</f>
        <v>2</v>
      </c>
      <c r="G14" s="8">
        <f>SUMIF('07数值索引'!$A$5:$A$80,$A14,'07数值索引'!$E$5:$E$80)</f>
        <v>0</v>
      </c>
      <c r="H14" s="8">
        <f>SUMIF('07数值索引'!$A$5:$A$80,$A14,'07数值索引'!$F$5:$F$80)</f>
        <v>0</v>
      </c>
      <c r="I14" s="8">
        <f>SUMIF('07数值索引'!$A$5:$A$80,$A14,'07数值索引'!$G$5:$G$80)</f>
        <v>1</v>
      </c>
      <c r="J14" s="8">
        <f>SUMIF('07数值索引'!$A$5:$A$80,$A14,'07数值索引'!$H$5:$H$80)</f>
        <v>0</v>
      </c>
      <c r="K14" s="8">
        <f>SUMIF('07数值索引'!$A$5:$A$80,$A14,'07数值索引'!$I$5:$I$80)</f>
        <v>0</v>
      </c>
      <c r="L14" s="8">
        <f>SUMIF('07数值索引'!$A$5:$A$80,$A14,'07数值索引'!$J$5:$J$80)</f>
        <v>0</v>
      </c>
      <c r="M14" s="8">
        <f>SUMIF('07数值索引'!$A$5:$A$80,$A14,'07数值索引'!$M$5:$M$80)</f>
        <v>0</v>
      </c>
    </row>
    <row r="15" ht="54" customHeight="1" spans="1:13">
      <c r="A15" s="8" t="s">
        <v>476</v>
      </c>
      <c r="B15" s="8" t="s">
        <v>470</v>
      </c>
      <c r="C15" s="8" t="s">
        <v>477</v>
      </c>
      <c r="D15" s="8" t="s">
        <v>309</v>
      </c>
      <c r="E15" s="8" t="s">
        <v>478</v>
      </c>
      <c r="F15" s="8">
        <f>SUMIF('07数值索引'!$A$5:$A$80,$A15,'07数值索引'!$D$5:$D$80)</f>
        <v>-2</v>
      </c>
      <c r="G15" s="8">
        <f>SUMIF('07数值索引'!$A$5:$A$80,$A15,'07数值索引'!$E$5:$E$80)</f>
        <v>0</v>
      </c>
      <c r="H15" s="8">
        <f>SUMIF('07数值索引'!$A$5:$A$80,$A15,'07数值索引'!$F$5:$F$80)</f>
        <v>-2</v>
      </c>
      <c r="I15" s="8">
        <f>SUMIF('07数值索引'!$A$5:$A$80,$A15,'07数值索引'!$G$5:$G$80)</f>
        <v>0</v>
      </c>
      <c r="J15" s="8">
        <f>SUMIF('07数值索引'!$A$5:$A$80,$A15,'07数值索引'!$H$5:$H$80)</f>
        <v>0</v>
      </c>
      <c r="K15" s="8">
        <f>SUMIF('07数值索引'!$A$5:$A$80,$A15,'07数值索引'!$I$5:$I$80)</f>
        <v>0</v>
      </c>
      <c r="L15" s="8">
        <f>SUMIF('07数值索引'!$A$5:$A$80,$A15,'07数值索引'!$J$5:$J$80)</f>
        <v>1</v>
      </c>
      <c r="M15" s="8">
        <f>SUMIF('07数值索引'!$A$5:$A$80,$A15,'07数值索引'!$M$5:$M$80)</f>
        <v>0</v>
      </c>
    </row>
    <row r="16" ht="54" customHeight="1" spans="1:13">
      <c r="A16" s="8" t="s">
        <v>479</v>
      </c>
      <c r="B16" s="8" t="s">
        <v>480</v>
      </c>
      <c r="C16" s="8" t="s">
        <v>481</v>
      </c>
      <c r="D16" s="8" t="s">
        <v>482</v>
      </c>
      <c r="E16" s="8" t="s">
        <v>483</v>
      </c>
      <c r="F16" s="8">
        <f>SUMIF('07数值索引'!$A$5:$A$80,$A16,'07数值索引'!$D$5:$D$80)</f>
        <v>2</v>
      </c>
      <c r="G16" s="8">
        <f>SUMIF('07数值索引'!$A$5:$A$80,$A16,'07数值索引'!$E$5:$E$80)</f>
        <v>-1</v>
      </c>
      <c r="H16" s="8">
        <f>SUMIF('07数值索引'!$A$5:$A$80,$A16,'07数值索引'!$F$5:$F$80)</f>
        <v>1</v>
      </c>
      <c r="I16" s="8">
        <f>SUMIF('07数值索引'!$A$5:$A$80,$A16,'07数值索引'!$G$5:$G$80)</f>
        <v>0</v>
      </c>
      <c r="J16" s="8">
        <f>SUMIF('07数值索引'!$A$5:$A$80,$A16,'07数值索引'!$H$5:$H$80)</f>
        <v>0</v>
      </c>
      <c r="K16" s="8">
        <f>SUMIF('07数值索引'!$A$5:$A$80,$A16,'07数值索引'!$I$5:$I$80)</f>
        <v>0</v>
      </c>
      <c r="L16" s="8">
        <f>SUMIF('07数值索引'!$A$5:$A$80,$A16,'07数值索引'!$J$5:$J$80)</f>
        <v>0</v>
      </c>
      <c r="M16" s="8">
        <f>SUMIF('07数值索引'!$A$5:$A$80,$A16,'07数值索引'!$M$5:$M$80)</f>
        <v>0</v>
      </c>
    </row>
    <row r="17" ht="54" customHeight="1" spans="1:13">
      <c r="A17" s="8" t="s">
        <v>484</v>
      </c>
      <c r="B17" s="8" t="s">
        <v>480</v>
      </c>
      <c r="C17" s="8" t="s">
        <v>485</v>
      </c>
      <c r="D17" s="8" t="s">
        <v>465</v>
      </c>
      <c r="E17" s="8" t="s">
        <v>486</v>
      </c>
      <c r="F17" s="8">
        <f>SUMIF('07数值索引'!$A$5:$A$80,$A17,'07数值索引'!$D$5:$D$80)</f>
        <v>0</v>
      </c>
      <c r="G17" s="8">
        <f>SUMIF('07数值索引'!$A$5:$A$80,$A17,'07数值索引'!$E$5:$E$80)</f>
        <v>3</v>
      </c>
      <c r="H17" s="8">
        <f>SUMIF('07数值索引'!$A$5:$A$80,$A17,'07数值索引'!$F$5:$F$80)</f>
        <v>-2</v>
      </c>
      <c r="I17" s="8">
        <f>SUMIF('07数值索引'!$A$5:$A$80,$A17,'07数值索引'!$G$5:$G$80)</f>
        <v>0</v>
      </c>
      <c r="J17" s="8">
        <f>SUMIF('07数值索引'!$A$5:$A$80,$A17,'07数值索引'!$H$5:$H$80)</f>
        <v>0</v>
      </c>
      <c r="K17" s="8">
        <f>SUMIF('07数值索引'!$A$5:$A$80,$A17,'07数值索引'!$I$5:$I$80)</f>
        <v>0</v>
      </c>
      <c r="L17" s="8">
        <f>SUMIF('07数值索引'!$A$5:$A$80,$A17,'07数值索引'!$J$5:$J$80)</f>
        <v>0</v>
      </c>
      <c r="M17" s="8">
        <f>SUMIF('07数值索引'!$A$5:$A$80,$A17,'07数值索引'!$M$5:$M$80)</f>
        <v>0</v>
      </c>
    </row>
    <row r="18" ht="54" customHeight="1" spans="1:13">
      <c r="A18" s="8" t="s">
        <v>487</v>
      </c>
      <c r="B18" s="8" t="s">
        <v>480</v>
      </c>
      <c r="C18" s="8" t="s">
        <v>488</v>
      </c>
      <c r="D18" s="8" t="s">
        <v>309</v>
      </c>
      <c r="E18" s="8" t="s">
        <v>489</v>
      </c>
      <c r="F18" s="8">
        <f>SUMIF('07数值索引'!$A$5:$A$80,$A18,'07数值索引'!$D$5:$D$80)</f>
        <v>-1</v>
      </c>
      <c r="G18" s="8">
        <f>SUMIF('07数值索引'!$A$5:$A$80,$A18,'07数值索引'!$E$5:$E$80)</f>
        <v>1</v>
      </c>
      <c r="H18" s="8">
        <f>SUMIF('07数值索引'!$A$5:$A$80,$A18,'07数值索引'!$F$5:$F$80)</f>
        <v>0</v>
      </c>
      <c r="I18" s="8">
        <f>SUMIF('07数值索引'!$A$5:$A$80,$A18,'07数值索引'!$G$5:$G$80)</f>
        <v>0</v>
      </c>
      <c r="J18" s="8">
        <f>SUMIF('07数值索引'!$A$5:$A$80,$A18,'07数值索引'!$H$5:$H$80)</f>
        <v>0</v>
      </c>
      <c r="K18" s="8">
        <f>SUMIF('07数值索引'!$A$5:$A$80,$A18,'07数值索引'!$I$5:$I$80)</f>
        <v>0</v>
      </c>
      <c r="L18" s="8">
        <f>SUMIF('07数值索引'!$A$5:$A$80,$A18,'07数值索引'!$J$5:$J$80)</f>
        <v>0</v>
      </c>
      <c r="M18" s="8">
        <f>SUMIF('07数值索引'!$A$5:$A$80,$A18,'07数值索引'!$M$5:$M$80)</f>
        <v>0</v>
      </c>
    </row>
    <row r="19" ht="30" customHeight="1"/>
    <row r="20" ht="58" customHeight="1" spans="1:13">
      <c r="A20" s="14" t="s">
        <v>490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58" customHeight="1" spans="1:13">
      <c r="A21" s="3" t="s">
        <v>491</v>
      </c>
      <c r="B21" s="3" t="s">
        <v>492</v>
      </c>
      <c r="C21" s="3" t="s">
        <v>493</v>
      </c>
      <c r="D21" s="3" t="s">
        <v>494</v>
      </c>
      <c r="E21" s="3" t="s">
        <v>26</v>
      </c>
      <c r="F21" s="3" t="s">
        <v>238</v>
      </c>
      <c r="G21" s="3" t="s">
        <v>239</v>
      </c>
      <c r="H21" s="3" t="s">
        <v>240</v>
      </c>
      <c r="I21" s="3" t="s">
        <v>495</v>
      </c>
    </row>
    <row r="22" ht="58" customHeight="1" spans="1:13">
      <c r="A22" s="5" t="s">
        <v>209</v>
      </c>
      <c r="B22" s="5" t="s">
        <v>496</v>
      </c>
      <c r="C22" s="5" t="s">
        <v>212</v>
      </c>
      <c r="D22" s="5" t="s">
        <v>497</v>
      </c>
      <c r="E22" s="5">
        <f>SUMIF('07数值索引'!$A$5:$A$80,$A22,'07数值索引'!$D$5:$D$80)</f>
        <v>2</v>
      </c>
      <c r="F22" s="5">
        <f>SUMIF('07数值索引'!$A$5:$A$80,$A22,'07数值索引'!$E$5:$E$80)</f>
        <v>0</v>
      </c>
      <c r="G22" s="5">
        <f>SUMIF('07数值索引'!$A$5:$A$80,$A22,'07数值索引'!$F$5:$F$80)</f>
        <v>2</v>
      </c>
      <c r="H22" s="5">
        <f>SUMIF('07数值索引'!$A$5:$A$80,$A22,'07数值索引'!$G$5:$G$80)</f>
        <v>3</v>
      </c>
      <c r="I22" s="5" t="s">
        <v>498</v>
      </c>
    </row>
    <row r="23" ht="58" customHeight="1" spans="1:13">
      <c r="A23" s="8" t="s">
        <v>214</v>
      </c>
      <c r="B23" s="8" t="s">
        <v>499</v>
      </c>
      <c r="C23" s="8" t="s">
        <v>216</v>
      </c>
      <c r="D23" s="8" t="s">
        <v>500</v>
      </c>
      <c r="E23" s="8">
        <f>SUMIF('07数值索引'!$A$5:$A$80,$A23,'07数值索引'!$D$5:$D$80)</f>
        <v>1</v>
      </c>
      <c r="F23" s="8">
        <f>SUMIF('07数值索引'!$A$5:$A$80,$A23,'07数值索引'!$E$5:$E$80)</f>
        <v>0</v>
      </c>
      <c r="G23" s="8">
        <f>SUMIF('07数值索引'!$A$5:$A$80,$A23,'07数值索引'!$F$5:$F$80)</f>
        <v>0</v>
      </c>
      <c r="H23" s="8">
        <f>SUMIF('07数值索引'!$A$5:$A$80,$A23,'07数值索引'!$G$5:$G$80)</f>
        <v>-1</v>
      </c>
      <c r="I23" s="8" t="s">
        <v>501</v>
      </c>
    </row>
    <row r="24" ht="58" customHeight="1" spans="1:13">
      <c r="A24" s="8" t="s">
        <v>218</v>
      </c>
      <c r="B24" s="8" t="s">
        <v>502</v>
      </c>
      <c r="C24" s="8" t="s">
        <v>220</v>
      </c>
      <c r="D24" s="8" t="s">
        <v>503</v>
      </c>
      <c r="E24" s="8">
        <f>SUMIF('07数值索引'!$A$5:$A$80,$A24,'07数值索引'!$D$5:$D$80)</f>
        <v>0</v>
      </c>
      <c r="F24" s="8">
        <f>SUMIF('07数值索引'!$A$5:$A$80,$A24,'07数值索引'!$E$5:$E$80)</f>
        <v>3</v>
      </c>
      <c r="G24" s="8">
        <f>SUMIF('07数值索引'!$A$5:$A$80,$A24,'07数值索引'!$F$5:$F$80)</f>
        <v>0</v>
      </c>
      <c r="H24" s="8">
        <f>SUMIF('07数值索引'!$A$5:$A$80,$A24,'07数值索引'!$G$5:$G$80)</f>
        <v>2</v>
      </c>
      <c r="I24" s="8" t="s">
        <v>504</v>
      </c>
    </row>
    <row r="25" ht="58" customHeight="1" spans="1:13">
      <c r="A25" s="8" t="s">
        <v>222</v>
      </c>
      <c r="B25" s="8" t="s">
        <v>505</v>
      </c>
      <c r="C25" s="8" t="s">
        <v>224</v>
      </c>
      <c r="D25" s="8" t="s">
        <v>506</v>
      </c>
      <c r="E25" s="8">
        <f>SUMIF('07数值索引'!$A$5:$A$80,$A25,'07数值索引'!$D$5:$D$80)</f>
        <v>-2</v>
      </c>
      <c r="F25" s="8">
        <f>SUMIF('07数值索引'!$A$5:$A$80,$A25,'07数值索引'!$E$5:$E$80)</f>
        <v>0</v>
      </c>
      <c r="G25" s="8">
        <f>SUMIF('07数值索引'!$A$5:$A$80,$A25,'07数值索引'!$F$5:$F$80)</f>
        <v>-2</v>
      </c>
      <c r="H25" s="8">
        <f>SUMIF('07数值索引'!$A$5:$A$80,$A25,'07数值索引'!$G$5:$G$80)</f>
        <v>1</v>
      </c>
      <c r="I25" s="8" t="s">
        <v>507</v>
      </c>
    </row>
    <row r="26" ht="58" customHeight="1" spans="1:13">
      <c r="A26" s="8" t="s">
        <v>226</v>
      </c>
      <c r="B26" s="8" t="s">
        <v>508</v>
      </c>
      <c r="C26" s="8" t="s">
        <v>228</v>
      </c>
      <c r="D26" s="8" t="s">
        <v>509</v>
      </c>
      <c r="E26" s="8">
        <f>SUMIF('07数值索引'!$A$5:$A$80,$A26,'07数值索引'!$D$5:$D$80)</f>
        <v>-3</v>
      </c>
      <c r="F26" s="8">
        <f>SUMIF('07数值索引'!$A$5:$A$80,$A26,'07数值索引'!$E$5:$E$80)</f>
        <v>0</v>
      </c>
      <c r="G26" s="8">
        <f>SUMIF('07数值索引'!$A$5:$A$80,$A26,'07数值索引'!$F$5:$F$80)</f>
        <v>-3</v>
      </c>
      <c r="H26" s="8">
        <f>SUMIF('07数值索引'!$A$5:$A$80,$A26,'07数值索引'!$G$5:$G$80)</f>
        <v>1</v>
      </c>
      <c r="I26" s="8" t="s">
        <v>510</v>
      </c>
    </row>
  </sheetData>
  <mergeCells count="3">
    <mergeCell ref="A1:M1"/>
    <mergeCell ref="A2:M2"/>
    <mergeCell ref="A20:M20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showGridLines="0" topLeftCell="A9" workbookViewId="0">
      <selection activeCell="A13" sqref="$A13:$XFD13"/>
    </sheetView>
  </sheetViews>
  <sheetFormatPr defaultColWidth="9" defaultRowHeight="14" outlineLevelCol="7"/>
  <cols>
    <col min="1" max="1" width="36" customWidth="1"/>
    <col min="2" max="2" width="95" customWidth="1"/>
    <col min="3" max="3" width="45" customWidth="1"/>
    <col min="4" max="4" width="42" customWidth="1"/>
    <col min="5" max="5" width="45" customWidth="1"/>
    <col min="6" max="6" width="16" customWidth="1"/>
    <col min="7" max="7" width="12" customWidth="1"/>
    <col min="8" max="8" width="28" customWidth="1"/>
  </cols>
  <sheetData>
    <row r="1" ht="32" customHeight="1" spans="1:8">
      <c r="A1" s="28" t="s">
        <v>511</v>
      </c>
    </row>
    <row r="2" ht="34" customHeight="1" spans="1:8">
      <c r="A2" s="29" t="s">
        <v>512</v>
      </c>
    </row>
    <row r="4" ht="30" customHeight="1" spans="1:8">
      <c r="A4" s="40" t="s">
        <v>513</v>
      </c>
      <c r="B4" s="41" t="s">
        <v>514</v>
      </c>
      <c r="C4" s="41" t="s">
        <v>515</v>
      </c>
      <c r="D4" s="41" t="s">
        <v>516</v>
      </c>
      <c r="E4" s="41" t="s">
        <v>517</v>
      </c>
      <c r="F4" s="41" t="s">
        <v>518</v>
      </c>
      <c r="G4" s="41" t="s">
        <v>519</v>
      </c>
      <c r="H4" s="42" t="s">
        <v>495</v>
      </c>
    </row>
    <row r="5" ht="72" customHeight="1" spans="1:8">
      <c r="A5" s="43">
        <v>1</v>
      </c>
      <c r="B5" s="44" t="s">
        <v>520</v>
      </c>
      <c r="C5" s="44" t="s">
        <v>521</v>
      </c>
      <c r="D5" s="44" t="s">
        <v>522</v>
      </c>
      <c r="E5" s="44" t="s">
        <v>523</v>
      </c>
      <c r="F5" s="44" t="s">
        <v>524</v>
      </c>
      <c r="G5" s="44" t="s">
        <v>525</v>
      </c>
      <c r="H5" s="47" t="s">
        <v>526</v>
      </c>
    </row>
    <row r="6" ht="72" customHeight="1" spans="1:8">
      <c r="A6" s="48">
        <v>2</v>
      </c>
      <c r="B6" s="49" t="s">
        <v>527</v>
      </c>
      <c r="C6" s="49" t="s">
        <v>528</v>
      </c>
      <c r="D6" s="49" t="s">
        <v>529</v>
      </c>
      <c r="E6" s="49" t="s">
        <v>530</v>
      </c>
      <c r="F6" s="49" t="s">
        <v>524</v>
      </c>
      <c r="G6" s="49" t="s">
        <v>525</v>
      </c>
      <c r="H6" s="52" t="s">
        <v>531</v>
      </c>
    </row>
    <row r="7" ht="72" customHeight="1" spans="1:8">
      <c r="A7" s="53">
        <v>3</v>
      </c>
      <c r="B7" s="54" t="s">
        <v>532</v>
      </c>
      <c r="C7" s="54" t="s">
        <v>533</v>
      </c>
      <c r="D7" s="54" t="s">
        <v>534</v>
      </c>
      <c r="E7" s="54" t="s">
        <v>535</v>
      </c>
      <c r="F7" s="54" t="s">
        <v>524</v>
      </c>
      <c r="G7" s="54" t="s">
        <v>525</v>
      </c>
      <c r="H7" s="55" t="s">
        <v>536</v>
      </c>
    </row>
    <row r="8" ht="72" customHeight="1" spans="1:8">
      <c r="A8" s="48">
        <v>4</v>
      </c>
      <c r="B8" s="49" t="s">
        <v>537</v>
      </c>
      <c r="C8" s="49" t="s">
        <v>538</v>
      </c>
      <c r="D8" s="49" t="s">
        <v>539</v>
      </c>
      <c r="E8" s="49" t="s">
        <v>540</v>
      </c>
      <c r="F8" s="49" t="s">
        <v>541</v>
      </c>
      <c r="G8" s="49" t="s">
        <v>525</v>
      </c>
      <c r="H8" s="52" t="s">
        <v>542</v>
      </c>
    </row>
    <row r="9" ht="72" customHeight="1" spans="1:8">
      <c r="A9" s="53">
        <v>5</v>
      </c>
      <c r="B9" s="54" t="s">
        <v>543</v>
      </c>
      <c r="C9" s="54" t="s">
        <v>544</v>
      </c>
      <c r="D9" s="54" t="s">
        <v>545</v>
      </c>
      <c r="E9" s="54" t="s">
        <v>546</v>
      </c>
      <c r="F9" s="54" t="s">
        <v>547</v>
      </c>
      <c r="G9" s="54" t="s">
        <v>525</v>
      </c>
      <c r="H9" s="55" t="s">
        <v>548</v>
      </c>
    </row>
    <row r="10" ht="72" customHeight="1" spans="1:8">
      <c r="A10" s="48">
        <v>6</v>
      </c>
      <c r="B10" s="49" t="s">
        <v>549</v>
      </c>
      <c r="C10" s="49" t="s">
        <v>550</v>
      </c>
      <c r="D10" s="49" t="s">
        <v>551</v>
      </c>
      <c r="E10" s="49" t="s">
        <v>552</v>
      </c>
      <c r="F10" s="49" t="s">
        <v>553</v>
      </c>
      <c r="G10" s="49" t="s">
        <v>525</v>
      </c>
      <c r="H10" s="52" t="s">
        <v>554</v>
      </c>
    </row>
    <row r="11" ht="72" customHeight="1" spans="1:8">
      <c r="A11" s="53">
        <v>7</v>
      </c>
      <c r="B11" s="54" t="s">
        <v>555</v>
      </c>
      <c r="C11" s="54" t="s">
        <v>556</v>
      </c>
      <c r="D11" s="54" t="s">
        <v>557</v>
      </c>
      <c r="E11" s="54" t="s">
        <v>558</v>
      </c>
      <c r="F11" s="54" t="s">
        <v>559</v>
      </c>
      <c r="G11" s="54" t="s">
        <v>525</v>
      </c>
      <c r="H11" s="55" t="s">
        <v>560</v>
      </c>
    </row>
    <row r="13" ht="30" customHeight="1" spans="1:8">
      <c r="A13" s="19" t="s">
        <v>561</v>
      </c>
      <c r="B13" s="19" t="s">
        <v>562</v>
      </c>
    </row>
    <row r="14" ht="54" customHeight="1" spans="1:8">
      <c r="A14" s="30" t="s">
        <v>563</v>
      </c>
      <c r="B14" s="5" t="s">
        <v>564</v>
      </c>
    </row>
    <row r="15" ht="54" customHeight="1" spans="1:8">
      <c r="A15" s="33" t="s">
        <v>565</v>
      </c>
      <c r="B15" s="34" t="s">
        <v>566</v>
      </c>
    </row>
    <row r="16" ht="54" customHeight="1" spans="1:8">
      <c r="A16" s="37" t="s">
        <v>567</v>
      </c>
      <c r="B16" s="8" t="s">
        <v>568</v>
      </c>
    </row>
    <row r="17" ht="54" customHeight="1" spans="1:2">
      <c r="A17" s="33" t="s">
        <v>569</v>
      </c>
      <c r="B17" s="34" t="s">
        <v>570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9"/>
  <sheetViews>
    <sheetView showGridLines="0" workbookViewId="0">
      <selection activeCell="L13" sqref="L13"/>
    </sheetView>
  </sheetViews>
  <sheetFormatPr defaultColWidth="9" defaultRowHeight="14"/>
  <cols>
    <col min="1" max="1" width="20" customWidth="1"/>
    <col min="2" max="2" width="12" customWidth="1"/>
    <col min="3" max="3" width="16" customWidth="1"/>
    <col min="4" max="7" width="9" customWidth="1"/>
    <col min="8" max="18" width="12" customWidth="1"/>
    <col min="19" max="19" width="52" customWidth="1"/>
  </cols>
  <sheetData>
    <row r="1" ht="32" customHeight="1" spans="1:19">
      <c r="A1" s="28" t="s">
        <v>571</v>
      </c>
    </row>
    <row r="2" ht="34" customHeight="1" spans="1:19">
      <c r="A2" s="29" t="s">
        <v>572</v>
      </c>
    </row>
    <row r="4" ht="30" customHeight="1" spans="1:19">
      <c r="A4" s="40" t="s">
        <v>573</v>
      </c>
      <c r="B4" s="41" t="s">
        <v>66</v>
      </c>
      <c r="C4" s="41" t="s">
        <v>518</v>
      </c>
      <c r="D4" s="41" t="s">
        <v>26</v>
      </c>
      <c r="E4" s="41" t="s">
        <v>238</v>
      </c>
      <c r="F4" s="41" t="s">
        <v>239</v>
      </c>
      <c r="G4" s="41" t="s">
        <v>240</v>
      </c>
      <c r="H4" s="41" t="s">
        <v>438</v>
      </c>
      <c r="I4" s="41" t="s">
        <v>439</v>
      </c>
      <c r="J4" s="41" t="s">
        <v>440</v>
      </c>
      <c r="K4" s="41" t="s">
        <v>574</v>
      </c>
      <c r="L4" s="41" t="s">
        <v>575</v>
      </c>
      <c r="M4" s="41" t="s">
        <v>241</v>
      </c>
      <c r="N4" s="41" t="s">
        <v>576</v>
      </c>
      <c r="O4" s="41" t="s">
        <v>577</v>
      </c>
      <c r="P4" s="41" t="s">
        <v>578</v>
      </c>
      <c r="Q4" s="41" t="s">
        <v>579</v>
      </c>
      <c r="R4" s="41" t="s">
        <v>580</v>
      </c>
      <c r="S4" s="42" t="s">
        <v>581</v>
      </c>
    </row>
    <row r="5" ht="42" customHeight="1" spans="1:19">
      <c r="A5" s="43" t="s">
        <v>582</v>
      </c>
      <c r="B5" s="44" t="s">
        <v>583</v>
      </c>
      <c r="C5" s="44" t="s">
        <v>584</v>
      </c>
      <c r="D5" s="45">
        <v>0</v>
      </c>
      <c r="E5" s="45">
        <v>0</v>
      </c>
      <c r="F5" s="45">
        <v>1</v>
      </c>
      <c r="G5" s="45">
        <v>1</v>
      </c>
      <c r="H5" s="46">
        <v>0</v>
      </c>
      <c r="I5" s="46">
        <v>0</v>
      </c>
      <c r="J5" s="46">
        <v>0</v>
      </c>
      <c r="K5" s="46">
        <v>0</v>
      </c>
      <c r="L5" s="46">
        <v>0</v>
      </c>
      <c r="M5" s="46">
        <v>0</v>
      </c>
      <c r="N5" s="46">
        <v>0</v>
      </c>
      <c r="O5" s="46">
        <v>0</v>
      </c>
      <c r="P5" s="46">
        <v>0</v>
      </c>
      <c r="Q5" s="46">
        <v>0</v>
      </c>
      <c r="R5" s="46">
        <v>0</v>
      </c>
      <c r="S5" s="47" t="s">
        <v>585</v>
      </c>
    </row>
    <row r="6" ht="42" customHeight="1" spans="1:19">
      <c r="A6" s="48" t="s">
        <v>586</v>
      </c>
      <c r="B6" s="49" t="s">
        <v>587</v>
      </c>
      <c r="C6" s="49" t="s">
        <v>588</v>
      </c>
      <c r="D6" s="50">
        <v>0</v>
      </c>
      <c r="E6" s="50">
        <v>0</v>
      </c>
      <c r="F6" s="50">
        <v>0</v>
      </c>
      <c r="G6" s="50">
        <v>1</v>
      </c>
      <c r="H6" s="51">
        <v>0</v>
      </c>
      <c r="I6" s="51">
        <v>0</v>
      </c>
      <c r="J6" s="51">
        <v>0</v>
      </c>
      <c r="K6" s="51">
        <v>0</v>
      </c>
      <c r="L6" s="51">
        <v>0</v>
      </c>
      <c r="M6" s="51">
        <v>0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2" t="s">
        <v>589</v>
      </c>
    </row>
    <row r="7" ht="42" customHeight="1" spans="1:19">
      <c r="A7" s="53" t="s">
        <v>144</v>
      </c>
      <c r="B7" s="54" t="s">
        <v>145</v>
      </c>
      <c r="C7" s="54" t="s">
        <v>590</v>
      </c>
      <c r="D7" s="50">
        <v>0</v>
      </c>
      <c r="E7" s="50">
        <v>0</v>
      </c>
      <c r="F7" s="50">
        <v>1</v>
      </c>
      <c r="G7" s="50">
        <v>0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5" t="s">
        <v>591</v>
      </c>
    </row>
    <row r="8" ht="42" customHeight="1" spans="1:19">
      <c r="A8" s="48" t="s">
        <v>150</v>
      </c>
      <c r="B8" s="49" t="s">
        <v>145</v>
      </c>
      <c r="C8" s="49" t="s">
        <v>590</v>
      </c>
      <c r="D8" s="50">
        <v>0</v>
      </c>
      <c r="E8" s="50">
        <v>0</v>
      </c>
      <c r="F8" s="50">
        <v>-1</v>
      </c>
      <c r="G8" s="50">
        <v>0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2" t="s">
        <v>592</v>
      </c>
    </row>
    <row r="9" ht="42" customHeight="1" spans="1:19">
      <c r="A9" s="53" t="s">
        <v>155</v>
      </c>
      <c r="B9" s="54" t="s">
        <v>145</v>
      </c>
      <c r="C9" s="54" t="s">
        <v>590</v>
      </c>
      <c r="D9" s="50">
        <v>0</v>
      </c>
      <c r="E9" s="50">
        <v>0</v>
      </c>
      <c r="F9" s="50">
        <v>0</v>
      </c>
      <c r="G9" s="50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5" t="s">
        <v>593</v>
      </c>
    </row>
    <row r="10" ht="42" customHeight="1" spans="1:19">
      <c r="A10" s="48" t="s">
        <v>159</v>
      </c>
      <c r="B10" s="49" t="s">
        <v>160</v>
      </c>
      <c r="C10" s="49" t="s">
        <v>594</v>
      </c>
      <c r="D10" s="50">
        <v>0</v>
      </c>
      <c r="E10" s="50">
        <v>0</v>
      </c>
      <c r="F10" s="50">
        <v>1</v>
      </c>
      <c r="G10" s="50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2" t="s">
        <v>595</v>
      </c>
    </row>
    <row r="11" ht="42" customHeight="1" spans="1:19">
      <c r="A11" s="53" t="s">
        <v>165</v>
      </c>
      <c r="B11" s="54" t="s">
        <v>160</v>
      </c>
      <c r="C11" s="54" t="s">
        <v>594</v>
      </c>
      <c r="D11" s="50">
        <v>0</v>
      </c>
      <c r="E11" s="50">
        <v>0</v>
      </c>
      <c r="F11" s="50">
        <v>0</v>
      </c>
      <c r="G11" s="50">
        <v>0</v>
      </c>
      <c r="H11" s="51"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5" t="s">
        <v>596</v>
      </c>
    </row>
    <row r="12" ht="42" customHeight="1" spans="1:19">
      <c r="A12" s="48" t="s">
        <v>169</v>
      </c>
      <c r="B12" s="49" t="s">
        <v>160</v>
      </c>
      <c r="C12" s="49" t="s">
        <v>594</v>
      </c>
      <c r="D12" s="50">
        <v>0</v>
      </c>
      <c r="E12" s="50">
        <v>1</v>
      </c>
      <c r="F12" s="50">
        <v>-1</v>
      </c>
      <c r="G12" s="50">
        <v>1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2" t="s">
        <v>597</v>
      </c>
    </row>
    <row r="13" ht="42" customHeight="1" spans="1:19">
      <c r="A13" s="53" t="s">
        <v>242</v>
      </c>
      <c r="B13" s="54" t="s">
        <v>105</v>
      </c>
      <c r="C13" s="54" t="s">
        <v>246</v>
      </c>
      <c r="D13" s="50">
        <v>1</v>
      </c>
      <c r="E13" s="50">
        <v>0</v>
      </c>
      <c r="F13" s="50">
        <v>1</v>
      </c>
      <c r="G13" s="50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5" t="s">
        <v>248</v>
      </c>
    </row>
    <row r="14" ht="42" customHeight="1" spans="1:19">
      <c r="A14" s="48" t="s">
        <v>249</v>
      </c>
      <c r="B14" s="49" t="s">
        <v>105</v>
      </c>
      <c r="C14" s="49" t="s">
        <v>246</v>
      </c>
      <c r="D14" s="50">
        <v>1</v>
      </c>
      <c r="E14" s="50">
        <v>0</v>
      </c>
      <c r="F14" s="50">
        <v>1</v>
      </c>
      <c r="G14" s="50">
        <v>1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1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2" t="s">
        <v>598</v>
      </c>
    </row>
    <row r="15" ht="42" customHeight="1" spans="1:19">
      <c r="A15" s="53" t="s">
        <v>252</v>
      </c>
      <c r="B15" s="54" t="s">
        <v>105</v>
      </c>
      <c r="C15" s="54" t="s">
        <v>254</v>
      </c>
      <c r="D15" s="50">
        <v>0</v>
      </c>
      <c r="E15" s="50">
        <v>0</v>
      </c>
      <c r="F15" s="50">
        <v>0</v>
      </c>
      <c r="G15" s="50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5" t="s">
        <v>256</v>
      </c>
    </row>
    <row r="16" ht="42" customHeight="1" spans="1:19">
      <c r="A16" s="48" t="s">
        <v>257</v>
      </c>
      <c r="B16" s="49" t="s">
        <v>105</v>
      </c>
      <c r="C16" s="49" t="s">
        <v>259</v>
      </c>
      <c r="D16" s="50">
        <v>1</v>
      </c>
      <c r="E16" s="50">
        <v>1</v>
      </c>
      <c r="F16" s="50">
        <v>0</v>
      </c>
      <c r="G16" s="50">
        <v>1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2" t="s">
        <v>260</v>
      </c>
    </row>
    <row r="17" ht="42" customHeight="1" spans="1:19">
      <c r="A17" s="53" t="s">
        <v>261</v>
      </c>
      <c r="B17" s="54" t="s">
        <v>105</v>
      </c>
      <c r="C17" s="54" t="s">
        <v>246</v>
      </c>
      <c r="D17" s="50">
        <v>1</v>
      </c>
      <c r="E17" s="50">
        <v>1</v>
      </c>
      <c r="F17" s="50">
        <v>0</v>
      </c>
      <c r="G17" s="50">
        <v>2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1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5" t="s">
        <v>599</v>
      </c>
    </row>
    <row r="18" ht="42" customHeight="1" spans="1:19">
      <c r="A18" s="48" t="s">
        <v>263</v>
      </c>
      <c r="B18" s="49" t="s">
        <v>105</v>
      </c>
      <c r="C18" s="49" t="s">
        <v>254</v>
      </c>
      <c r="D18" s="50">
        <v>0</v>
      </c>
      <c r="E18" s="50">
        <v>0</v>
      </c>
      <c r="F18" s="50">
        <v>0</v>
      </c>
      <c r="G18" s="50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2" t="s">
        <v>264</v>
      </c>
    </row>
    <row r="19" ht="42" customHeight="1" spans="1:19">
      <c r="A19" s="53" t="s">
        <v>265</v>
      </c>
      <c r="B19" s="54" t="s">
        <v>105</v>
      </c>
      <c r="C19" s="54" t="s">
        <v>259</v>
      </c>
      <c r="D19" s="50">
        <v>1</v>
      </c>
      <c r="E19" s="50">
        <v>0</v>
      </c>
      <c r="F19" s="50">
        <v>0</v>
      </c>
      <c r="G19" s="50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5" t="s">
        <v>267</v>
      </c>
    </row>
    <row r="20" ht="42" customHeight="1" spans="1:19">
      <c r="A20" s="48" t="s">
        <v>268</v>
      </c>
      <c r="B20" s="49" t="s">
        <v>105</v>
      </c>
      <c r="C20" s="49" t="s">
        <v>259</v>
      </c>
      <c r="D20" s="50">
        <v>1</v>
      </c>
      <c r="E20" s="50">
        <v>0</v>
      </c>
      <c r="F20" s="50">
        <v>0</v>
      </c>
      <c r="G20" s="50">
        <v>1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1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2" t="s">
        <v>600</v>
      </c>
    </row>
    <row r="21" ht="42" customHeight="1" spans="1:19">
      <c r="A21" s="53" t="s">
        <v>270</v>
      </c>
      <c r="B21" s="54" t="s">
        <v>105</v>
      </c>
      <c r="C21" s="54" t="s">
        <v>271</v>
      </c>
      <c r="D21" s="50">
        <v>0</v>
      </c>
      <c r="E21" s="50">
        <v>1</v>
      </c>
      <c r="F21" s="50">
        <v>-1</v>
      </c>
      <c r="G21" s="50">
        <v>1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5" t="s">
        <v>273</v>
      </c>
    </row>
    <row r="22" ht="42" customHeight="1" spans="1:19">
      <c r="A22" s="48" t="s">
        <v>274</v>
      </c>
      <c r="B22" s="49" t="s">
        <v>105</v>
      </c>
      <c r="C22" s="49" t="s">
        <v>259</v>
      </c>
      <c r="D22" s="50">
        <v>1</v>
      </c>
      <c r="E22" s="50">
        <v>1</v>
      </c>
      <c r="F22" s="50">
        <v>-1</v>
      </c>
      <c r="G22" s="50">
        <v>1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2" t="s">
        <v>275</v>
      </c>
    </row>
    <row r="23" ht="42" customHeight="1" spans="1:19">
      <c r="A23" s="53" t="s">
        <v>276</v>
      </c>
      <c r="B23" s="54" t="s">
        <v>105</v>
      </c>
      <c r="C23" s="54" t="s">
        <v>277</v>
      </c>
      <c r="D23" s="50">
        <v>0</v>
      </c>
      <c r="E23" s="50">
        <v>2</v>
      </c>
      <c r="F23" s="50">
        <v>-1</v>
      </c>
      <c r="G23" s="50">
        <v>2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1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5" t="s">
        <v>601</v>
      </c>
    </row>
    <row r="24" ht="42" customHeight="1" spans="1:19">
      <c r="A24" s="48" t="s">
        <v>279</v>
      </c>
      <c r="B24" s="49" t="s">
        <v>105</v>
      </c>
      <c r="C24" s="49" t="s">
        <v>246</v>
      </c>
      <c r="D24" s="50">
        <v>0</v>
      </c>
      <c r="E24" s="50">
        <v>2</v>
      </c>
      <c r="F24" s="50">
        <v>-1</v>
      </c>
      <c r="G24" s="50">
        <v>2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2" t="s">
        <v>280</v>
      </c>
    </row>
    <row r="25" ht="42" customHeight="1" spans="1:19">
      <c r="A25" s="53" t="s">
        <v>281</v>
      </c>
      <c r="B25" s="54" t="s">
        <v>105</v>
      </c>
      <c r="C25" s="54" t="s">
        <v>259</v>
      </c>
      <c r="D25" s="50">
        <v>1</v>
      </c>
      <c r="E25" s="50">
        <v>0</v>
      </c>
      <c r="F25" s="50">
        <v>0</v>
      </c>
      <c r="G25" s="50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5" t="s">
        <v>283</v>
      </c>
    </row>
    <row r="26" ht="42" customHeight="1" spans="1:19">
      <c r="A26" s="48" t="s">
        <v>284</v>
      </c>
      <c r="B26" s="49" t="s">
        <v>105</v>
      </c>
      <c r="C26" s="49" t="s">
        <v>246</v>
      </c>
      <c r="D26" s="50">
        <v>1</v>
      </c>
      <c r="E26" s="50">
        <v>0</v>
      </c>
      <c r="F26" s="50">
        <v>0</v>
      </c>
      <c r="G26" s="50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1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2" t="s">
        <v>602</v>
      </c>
    </row>
    <row r="27" ht="42" customHeight="1" spans="1:19">
      <c r="A27" s="53" t="s">
        <v>286</v>
      </c>
      <c r="B27" s="54" t="s">
        <v>105</v>
      </c>
      <c r="C27" s="54" t="s">
        <v>254</v>
      </c>
      <c r="D27" s="50">
        <v>0</v>
      </c>
      <c r="E27" s="50">
        <v>0</v>
      </c>
      <c r="F27" s="50">
        <v>0</v>
      </c>
      <c r="G27" s="50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5" t="s">
        <v>287</v>
      </c>
    </row>
    <row r="28" ht="42" customHeight="1" spans="1:19">
      <c r="A28" s="48" t="s">
        <v>288</v>
      </c>
      <c r="B28" s="49" t="s">
        <v>105</v>
      </c>
      <c r="C28" s="49" t="s">
        <v>254</v>
      </c>
      <c r="D28" s="50">
        <v>0</v>
      </c>
      <c r="E28" s="50">
        <v>0</v>
      </c>
      <c r="F28" s="50">
        <v>0</v>
      </c>
      <c r="G28" s="50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2" t="s">
        <v>289</v>
      </c>
    </row>
    <row r="29" ht="42" customHeight="1" spans="1:19">
      <c r="A29" s="53" t="s">
        <v>290</v>
      </c>
      <c r="B29" s="54" t="s">
        <v>105</v>
      </c>
      <c r="C29" s="54" t="s">
        <v>246</v>
      </c>
      <c r="D29" s="50">
        <v>0</v>
      </c>
      <c r="E29" s="50">
        <v>2</v>
      </c>
      <c r="F29" s="50">
        <v>0</v>
      </c>
      <c r="G29" s="50">
        <v>2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1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5" t="s">
        <v>603</v>
      </c>
    </row>
    <row r="30" ht="42" customHeight="1" spans="1:19">
      <c r="A30" s="48" t="s">
        <v>292</v>
      </c>
      <c r="B30" s="49" t="s">
        <v>105</v>
      </c>
      <c r="C30" s="49" t="s">
        <v>254</v>
      </c>
      <c r="D30" s="50">
        <v>0</v>
      </c>
      <c r="E30" s="50">
        <v>0</v>
      </c>
      <c r="F30" s="50">
        <v>0</v>
      </c>
      <c r="G30" s="50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2" t="s">
        <v>293</v>
      </c>
    </row>
    <row r="31" ht="42" customHeight="1" spans="1:19">
      <c r="A31" s="53" t="s">
        <v>604</v>
      </c>
      <c r="B31" s="54" t="s">
        <v>105</v>
      </c>
      <c r="C31" s="54" t="s">
        <v>605</v>
      </c>
      <c r="D31" s="50">
        <v>0</v>
      </c>
      <c r="E31" s="50">
        <v>0</v>
      </c>
      <c r="F31" s="50">
        <v>0</v>
      </c>
      <c r="G31" s="50">
        <v>6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1</v>
      </c>
      <c r="S31" s="55" t="s">
        <v>606</v>
      </c>
    </row>
    <row r="32" ht="42" customHeight="1" spans="1:19">
      <c r="A32" s="48" t="s">
        <v>173</v>
      </c>
      <c r="B32" s="49" t="s">
        <v>113</v>
      </c>
      <c r="C32" s="49" t="s">
        <v>607</v>
      </c>
      <c r="D32" s="50">
        <v>-1</v>
      </c>
      <c r="E32" s="50">
        <v>0</v>
      </c>
      <c r="F32" s="50">
        <v>-2</v>
      </c>
      <c r="G32" s="50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2" t="s">
        <v>608</v>
      </c>
    </row>
    <row r="33" ht="42" customHeight="1" spans="1:19">
      <c r="A33" s="53" t="s">
        <v>179</v>
      </c>
      <c r="B33" s="54" t="s">
        <v>113</v>
      </c>
      <c r="C33" s="54" t="s">
        <v>607</v>
      </c>
      <c r="D33" s="50">
        <v>0</v>
      </c>
      <c r="E33" s="50">
        <v>0</v>
      </c>
      <c r="F33" s="50">
        <v>-1</v>
      </c>
      <c r="G33" s="50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5" t="s">
        <v>609</v>
      </c>
    </row>
    <row r="34" ht="42" customHeight="1" spans="1:19">
      <c r="A34" s="48" t="s">
        <v>183</v>
      </c>
      <c r="B34" s="49" t="s">
        <v>113</v>
      </c>
      <c r="C34" s="49" t="s">
        <v>607</v>
      </c>
      <c r="D34" s="50">
        <v>1</v>
      </c>
      <c r="E34" s="50">
        <v>0</v>
      </c>
      <c r="F34" s="50">
        <v>1</v>
      </c>
      <c r="G34" s="50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2" t="s">
        <v>610</v>
      </c>
    </row>
    <row r="35" ht="42" customHeight="1" spans="1:19">
      <c r="A35" s="53" t="s">
        <v>187</v>
      </c>
      <c r="B35" s="54" t="s">
        <v>113</v>
      </c>
      <c r="C35" s="54" t="s">
        <v>607</v>
      </c>
      <c r="D35" s="50">
        <v>2</v>
      </c>
      <c r="E35" s="50">
        <v>0</v>
      </c>
      <c r="F35" s="50">
        <v>1</v>
      </c>
      <c r="G35" s="50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5" t="s">
        <v>611</v>
      </c>
    </row>
    <row r="36" ht="42" customHeight="1" spans="1:19">
      <c r="A36" s="48" t="s">
        <v>191</v>
      </c>
      <c r="B36" s="49" t="s">
        <v>113</v>
      </c>
      <c r="C36" s="49" t="s">
        <v>612</v>
      </c>
      <c r="D36" s="50">
        <v>3</v>
      </c>
      <c r="E36" s="50">
        <v>0</v>
      </c>
      <c r="F36" s="50">
        <v>1</v>
      </c>
      <c r="G36" s="50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2" t="s">
        <v>613</v>
      </c>
    </row>
    <row r="37" ht="42" customHeight="1" spans="1:19">
      <c r="A37" s="53" t="s">
        <v>197</v>
      </c>
      <c r="B37" s="54" t="s">
        <v>113</v>
      </c>
      <c r="C37" s="54" t="s">
        <v>612</v>
      </c>
      <c r="D37" s="50">
        <v>0</v>
      </c>
      <c r="E37" s="50">
        <v>0</v>
      </c>
      <c r="F37" s="50">
        <v>-1</v>
      </c>
      <c r="G37" s="50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5" t="s">
        <v>614</v>
      </c>
    </row>
    <row r="38" ht="42" customHeight="1" spans="1:19">
      <c r="A38" s="48" t="s">
        <v>201</v>
      </c>
      <c r="B38" s="49" t="s">
        <v>113</v>
      </c>
      <c r="C38" s="49" t="s">
        <v>612</v>
      </c>
      <c r="D38" s="50">
        <v>-2</v>
      </c>
      <c r="E38" s="50">
        <v>0</v>
      </c>
      <c r="F38" s="50">
        <v>-2</v>
      </c>
      <c r="G38" s="50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2" t="s">
        <v>615</v>
      </c>
    </row>
    <row r="39" ht="42" customHeight="1" spans="1:19">
      <c r="A39" s="53" t="s">
        <v>205</v>
      </c>
      <c r="B39" s="54" t="s">
        <v>113</v>
      </c>
      <c r="C39" s="54" t="s">
        <v>612</v>
      </c>
      <c r="D39" s="50">
        <v>-1</v>
      </c>
      <c r="E39" s="50">
        <v>0</v>
      </c>
      <c r="F39" s="50">
        <v>-1</v>
      </c>
      <c r="G39" s="50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5" t="s">
        <v>616</v>
      </c>
    </row>
    <row r="40" ht="42" customHeight="1" spans="1:19">
      <c r="A40" s="48" t="s">
        <v>441</v>
      </c>
      <c r="B40" s="49" t="s">
        <v>121</v>
      </c>
      <c r="C40" s="49" t="s">
        <v>617</v>
      </c>
      <c r="D40" s="50">
        <v>2</v>
      </c>
      <c r="E40" s="50">
        <v>0</v>
      </c>
      <c r="F40" s="50">
        <v>1</v>
      </c>
      <c r="G40" s="50">
        <v>0</v>
      </c>
      <c r="H40" s="51">
        <v>1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2" t="s">
        <v>618</v>
      </c>
    </row>
    <row r="41" ht="42" customHeight="1" spans="1:19">
      <c r="A41" s="53" t="s">
        <v>446</v>
      </c>
      <c r="B41" s="54" t="s">
        <v>121</v>
      </c>
      <c r="C41" s="54" t="s">
        <v>617</v>
      </c>
      <c r="D41" s="50">
        <v>2</v>
      </c>
      <c r="E41" s="50">
        <v>0</v>
      </c>
      <c r="F41" s="50">
        <v>0</v>
      </c>
      <c r="G41" s="50">
        <v>0</v>
      </c>
      <c r="H41" s="51">
        <v>1</v>
      </c>
      <c r="I41" s="51">
        <v>0</v>
      </c>
      <c r="J41" s="51">
        <v>0</v>
      </c>
      <c r="K41" s="51">
        <v>0</v>
      </c>
      <c r="L41" s="51">
        <v>0</v>
      </c>
      <c r="M41" s="51">
        <v>1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5" t="s">
        <v>619</v>
      </c>
    </row>
    <row r="42" ht="42" customHeight="1" spans="1:19">
      <c r="A42" s="48" t="s">
        <v>454</v>
      </c>
      <c r="B42" s="49" t="s">
        <v>121</v>
      </c>
      <c r="C42" s="49" t="s">
        <v>617</v>
      </c>
      <c r="D42" s="50">
        <v>-2</v>
      </c>
      <c r="E42" s="50">
        <v>0</v>
      </c>
      <c r="F42" s="50">
        <v>0</v>
      </c>
      <c r="G42" s="50">
        <v>0</v>
      </c>
      <c r="H42" s="51">
        <v>0</v>
      </c>
      <c r="I42" s="51">
        <v>1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2" t="s">
        <v>620</v>
      </c>
    </row>
    <row r="43" ht="42" customHeight="1" spans="1:19">
      <c r="A43" s="53" t="s">
        <v>461</v>
      </c>
      <c r="B43" s="54" t="s">
        <v>121</v>
      </c>
      <c r="C43" s="54" t="s">
        <v>617</v>
      </c>
      <c r="D43" s="50">
        <v>2</v>
      </c>
      <c r="E43" s="50">
        <v>0</v>
      </c>
      <c r="F43" s="50">
        <v>0</v>
      </c>
      <c r="G43" s="50">
        <v>0</v>
      </c>
      <c r="H43" s="51">
        <v>1</v>
      </c>
      <c r="I43" s="51">
        <v>0</v>
      </c>
      <c r="J43" s="51">
        <v>0</v>
      </c>
      <c r="K43" s="51">
        <v>0</v>
      </c>
      <c r="L43" s="51">
        <v>0</v>
      </c>
      <c r="M43" s="51">
        <v>1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5" t="s">
        <v>621</v>
      </c>
    </row>
    <row r="44" ht="42" customHeight="1" spans="1:19">
      <c r="A44" s="48" t="s">
        <v>464</v>
      </c>
      <c r="B44" s="49" t="s">
        <v>121</v>
      </c>
      <c r="C44" s="49" t="s">
        <v>617</v>
      </c>
      <c r="D44" s="50">
        <v>0</v>
      </c>
      <c r="E44" s="50">
        <v>2</v>
      </c>
      <c r="F44" s="50">
        <v>0</v>
      </c>
      <c r="G44" s="50">
        <v>1</v>
      </c>
      <c r="H44" s="51">
        <v>1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2" t="s">
        <v>622</v>
      </c>
    </row>
    <row r="45" ht="42" customHeight="1" spans="1:19">
      <c r="A45" s="53" t="s">
        <v>467</v>
      </c>
      <c r="B45" s="54" t="s">
        <v>121</v>
      </c>
      <c r="C45" s="54" t="s">
        <v>617</v>
      </c>
      <c r="D45" s="50">
        <v>-1</v>
      </c>
      <c r="E45" s="50">
        <v>0</v>
      </c>
      <c r="F45" s="50">
        <v>0</v>
      </c>
      <c r="G45" s="50">
        <v>0</v>
      </c>
      <c r="H45" s="51">
        <v>0</v>
      </c>
      <c r="I45" s="51">
        <v>1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5" t="s">
        <v>468</v>
      </c>
    </row>
    <row r="46" ht="42" customHeight="1" spans="1:19">
      <c r="A46" s="48" t="s">
        <v>469</v>
      </c>
      <c r="B46" s="49" t="s">
        <v>121</v>
      </c>
      <c r="C46" s="49" t="s">
        <v>617</v>
      </c>
      <c r="D46" s="50">
        <v>2</v>
      </c>
      <c r="E46" s="50">
        <v>0</v>
      </c>
      <c r="F46" s="50">
        <v>1</v>
      </c>
      <c r="G46" s="50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2" t="s">
        <v>623</v>
      </c>
    </row>
    <row r="47" ht="42" customHeight="1" spans="1:19">
      <c r="A47" s="53" t="s">
        <v>473</v>
      </c>
      <c r="B47" s="54" t="s">
        <v>121</v>
      </c>
      <c r="C47" s="54" t="s">
        <v>617</v>
      </c>
      <c r="D47" s="50">
        <v>2</v>
      </c>
      <c r="E47" s="50">
        <v>0</v>
      </c>
      <c r="F47" s="50">
        <v>0</v>
      </c>
      <c r="G47" s="50">
        <v>1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5" t="s">
        <v>624</v>
      </c>
    </row>
    <row r="48" ht="42" customHeight="1" spans="1:19">
      <c r="A48" s="48" t="s">
        <v>476</v>
      </c>
      <c r="B48" s="49" t="s">
        <v>121</v>
      </c>
      <c r="C48" s="49" t="s">
        <v>617</v>
      </c>
      <c r="D48" s="50">
        <v>-2</v>
      </c>
      <c r="E48" s="50">
        <v>0</v>
      </c>
      <c r="F48" s="50">
        <v>-2</v>
      </c>
      <c r="G48" s="50">
        <v>0</v>
      </c>
      <c r="H48" s="51">
        <v>0</v>
      </c>
      <c r="I48" s="51">
        <v>0</v>
      </c>
      <c r="J48" s="51">
        <v>1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2" t="s">
        <v>625</v>
      </c>
    </row>
    <row r="49" ht="42" customHeight="1" spans="1:19">
      <c r="A49" s="53" t="s">
        <v>479</v>
      </c>
      <c r="B49" s="54" t="s">
        <v>121</v>
      </c>
      <c r="C49" s="54" t="s">
        <v>617</v>
      </c>
      <c r="D49" s="50">
        <v>2</v>
      </c>
      <c r="E49" s="50">
        <v>-1</v>
      </c>
      <c r="F49" s="50">
        <v>1</v>
      </c>
      <c r="G49" s="50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5" t="s">
        <v>483</v>
      </c>
    </row>
    <row r="50" ht="42" customHeight="1" spans="1:19">
      <c r="A50" s="48" t="s">
        <v>484</v>
      </c>
      <c r="B50" s="49" t="s">
        <v>121</v>
      </c>
      <c r="C50" s="49" t="s">
        <v>617</v>
      </c>
      <c r="D50" s="50">
        <v>0</v>
      </c>
      <c r="E50" s="50">
        <v>3</v>
      </c>
      <c r="F50" s="50">
        <v>-2</v>
      </c>
      <c r="G50" s="50">
        <v>0</v>
      </c>
      <c r="H50" s="51">
        <v>0</v>
      </c>
      <c r="I50" s="51">
        <v>0</v>
      </c>
      <c r="J50" s="51">
        <v>0</v>
      </c>
      <c r="K50" s="51">
        <v>1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2" t="s">
        <v>626</v>
      </c>
    </row>
    <row r="51" ht="42" customHeight="1" spans="1:19">
      <c r="A51" s="53" t="s">
        <v>487</v>
      </c>
      <c r="B51" s="54" t="s">
        <v>121</v>
      </c>
      <c r="C51" s="54" t="s">
        <v>617</v>
      </c>
      <c r="D51" s="50">
        <v>-1</v>
      </c>
      <c r="E51" s="50">
        <v>1</v>
      </c>
      <c r="F51" s="50">
        <v>0</v>
      </c>
      <c r="G51" s="50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5" t="s">
        <v>627</v>
      </c>
    </row>
    <row r="52" ht="42" customHeight="1" spans="1:19">
      <c r="A52" s="48" t="s">
        <v>209</v>
      </c>
      <c r="B52" s="49" t="s">
        <v>121</v>
      </c>
      <c r="C52" s="49" t="s">
        <v>628</v>
      </c>
      <c r="D52" s="50">
        <v>2</v>
      </c>
      <c r="E52" s="50">
        <v>0</v>
      </c>
      <c r="F52" s="50">
        <v>2</v>
      </c>
      <c r="G52" s="50">
        <v>3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1</v>
      </c>
      <c r="O52" s="51">
        <v>0</v>
      </c>
      <c r="P52" s="51">
        <v>0</v>
      </c>
      <c r="Q52" s="51">
        <v>0</v>
      </c>
      <c r="R52" s="51">
        <v>0</v>
      </c>
      <c r="S52" s="52" t="s">
        <v>629</v>
      </c>
    </row>
    <row r="53" ht="42" customHeight="1" spans="1:19">
      <c r="A53" s="53" t="s">
        <v>214</v>
      </c>
      <c r="B53" s="54" t="s">
        <v>121</v>
      </c>
      <c r="C53" s="54" t="s">
        <v>628</v>
      </c>
      <c r="D53" s="50">
        <v>1</v>
      </c>
      <c r="E53" s="50">
        <v>0</v>
      </c>
      <c r="F53" s="50">
        <v>0</v>
      </c>
      <c r="G53" s="50">
        <v>-1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1</v>
      </c>
      <c r="N53" s="51">
        <v>0</v>
      </c>
      <c r="O53" s="51">
        <v>1</v>
      </c>
      <c r="P53" s="51">
        <v>0</v>
      </c>
      <c r="Q53" s="51">
        <v>0</v>
      </c>
      <c r="R53" s="51">
        <v>0</v>
      </c>
      <c r="S53" s="55" t="s">
        <v>630</v>
      </c>
    </row>
    <row r="54" ht="42" customHeight="1" spans="1:19">
      <c r="A54" s="48" t="s">
        <v>218</v>
      </c>
      <c r="B54" s="49" t="s">
        <v>121</v>
      </c>
      <c r="C54" s="49" t="s">
        <v>628</v>
      </c>
      <c r="D54" s="50">
        <v>0</v>
      </c>
      <c r="E54" s="50">
        <v>3</v>
      </c>
      <c r="F54" s="50">
        <v>0</v>
      </c>
      <c r="G54" s="50">
        <v>2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1</v>
      </c>
      <c r="Q54" s="51">
        <v>0</v>
      </c>
      <c r="R54" s="51">
        <v>0</v>
      </c>
      <c r="S54" s="52" t="s">
        <v>631</v>
      </c>
    </row>
    <row r="55" ht="42" customHeight="1" spans="1:19">
      <c r="A55" s="53" t="s">
        <v>222</v>
      </c>
      <c r="B55" s="54" t="s">
        <v>121</v>
      </c>
      <c r="C55" s="54" t="s">
        <v>628</v>
      </c>
      <c r="D55" s="50">
        <v>-2</v>
      </c>
      <c r="E55" s="50">
        <v>0</v>
      </c>
      <c r="F55" s="50">
        <v>-2</v>
      </c>
      <c r="G55" s="50">
        <v>1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1</v>
      </c>
      <c r="R55" s="51">
        <v>0</v>
      </c>
      <c r="S55" s="55" t="s">
        <v>632</v>
      </c>
    </row>
    <row r="56" ht="42" customHeight="1" spans="1:19">
      <c r="A56" s="48" t="s">
        <v>226</v>
      </c>
      <c r="B56" s="49" t="s">
        <v>121</v>
      </c>
      <c r="C56" s="49" t="s">
        <v>628</v>
      </c>
      <c r="D56" s="50">
        <v>-3</v>
      </c>
      <c r="E56" s="50">
        <v>0</v>
      </c>
      <c r="F56" s="50">
        <v>-3</v>
      </c>
      <c r="G56" s="50">
        <v>1</v>
      </c>
      <c r="H56" s="51">
        <v>0</v>
      </c>
      <c r="I56" s="51">
        <v>0</v>
      </c>
      <c r="J56" s="51">
        <v>0</v>
      </c>
      <c r="K56" s="51">
        <v>0</v>
      </c>
      <c r="L56" s="51">
        <v>1</v>
      </c>
      <c r="M56" s="51">
        <v>0</v>
      </c>
      <c r="N56" s="51">
        <v>0</v>
      </c>
      <c r="O56" s="51">
        <v>0</v>
      </c>
      <c r="P56" s="51">
        <v>0</v>
      </c>
      <c r="Q56" s="51">
        <v>1</v>
      </c>
      <c r="R56" s="51">
        <v>0</v>
      </c>
      <c r="S56" s="52" t="s">
        <v>633</v>
      </c>
    </row>
    <row r="57" ht="48" customHeight="1" spans="1:19">
      <c r="A57" s="5" t="s">
        <v>450</v>
      </c>
      <c r="B57" s="5" t="s">
        <v>121</v>
      </c>
      <c r="C57" s="5" t="s">
        <v>617</v>
      </c>
      <c r="D57" s="56">
        <v>1</v>
      </c>
      <c r="E57" s="56">
        <v>2</v>
      </c>
      <c r="F57" s="56">
        <v>0</v>
      </c>
      <c r="G57" s="56">
        <v>1</v>
      </c>
      <c r="H57" s="56">
        <v>1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" t="s">
        <v>634</v>
      </c>
    </row>
    <row r="58" ht="48" customHeight="1" spans="1:19">
      <c r="A58" s="8" t="s">
        <v>457</v>
      </c>
      <c r="B58" s="8" t="s">
        <v>121</v>
      </c>
      <c r="C58" s="8" t="s">
        <v>617</v>
      </c>
      <c r="D58" s="57">
        <v>2</v>
      </c>
      <c r="E58" s="57">
        <v>0</v>
      </c>
      <c r="F58" s="57">
        <v>1</v>
      </c>
      <c r="G58" s="57">
        <v>0</v>
      </c>
      <c r="H58" s="57">
        <v>1</v>
      </c>
      <c r="I58" s="57">
        <v>0</v>
      </c>
      <c r="J58" s="57">
        <v>0</v>
      </c>
      <c r="K58" s="57">
        <v>0</v>
      </c>
      <c r="L58" s="57">
        <v>0</v>
      </c>
      <c r="M58" s="57">
        <v>0</v>
      </c>
      <c r="N58" s="57">
        <v>0</v>
      </c>
      <c r="O58" s="57">
        <v>0</v>
      </c>
      <c r="P58" s="57">
        <v>0</v>
      </c>
      <c r="Q58" s="57">
        <v>0</v>
      </c>
      <c r="R58" s="57">
        <v>0</v>
      </c>
      <c r="S58" s="8" t="s">
        <v>635</v>
      </c>
    </row>
    <row r="59" ht="48" customHeight="1" spans="1:19">
      <c r="A59" s="8" t="s">
        <v>636</v>
      </c>
      <c r="B59" s="8" t="s">
        <v>121</v>
      </c>
      <c r="C59" s="8" t="s">
        <v>588</v>
      </c>
      <c r="D59" s="57">
        <v>0</v>
      </c>
      <c r="E59" s="57">
        <v>0</v>
      </c>
      <c r="F59" s="57">
        <v>0</v>
      </c>
      <c r="G59" s="57">
        <v>2</v>
      </c>
      <c r="H59" s="57">
        <v>0</v>
      </c>
      <c r="I59" s="57">
        <v>0</v>
      </c>
      <c r="J59" s="57">
        <v>0</v>
      </c>
      <c r="K59" s="57">
        <v>0</v>
      </c>
      <c r="L59" s="57">
        <v>0</v>
      </c>
      <c r="M59" s="57">
        <v>0</v>
      </c>
      <c r="N59" s="57">
        <v>0</v>
      </c>
      <c r="O59" s="57">
        <v>0</v>
      </c>
      <c r="P59" s="57">
        <v>0</v>
      </c>
      <c r="Q59" s="57">
        <v>0</v>
      </c>
      <c r="R59" s="57">
        <v>0</v>
      </c>
      <c r="S59" s="8" t="s">
        <v>637</v>
      </c>
    </row>
  </sheetData>
  <mergeCells count="2">
    <mergeCell ref="A1:S1"/>
    <mergeCell ref="A2:S2"/>
  </mergeCells>
  <conditionalFormatting sqref="D5:G56">
    <cfRule type="colorScale" priority="1">
      <colorScale>
        <cfvo type="min"/>
        <cfvo type="percentile" val="50"/>
        <cfvo type="max"/>
        <color rgb="FFF7E6E4"/>
        <color rgb="FFFFFFFF"/>
        <color rgb="FFE4F1E7"/>
      </colorScale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"/>
  <sheetViews>
    <sheetView showGridLines="0" workbookViewId="0">
      <selection activeCell="B15" sqref="B15"/>
    </sheetView>
  </sheetViews>
  <sheetFormatPr defaultColWidth="9" defaultRowHeight="14"/>
  <cols>
    <col min="1" max="1" width="12" customWidth="1"/>
    <col min="2" max="2" width="28" customWidth="1"/>
    <col min="3" max="14" width="18" customWidth="1"/>
    <col min="15" max="29" width="10" customWidth="1"/>
    <col min="30" max="32" width="16" customWidth="1"/>
    <col min="33" max="33" width="42" customWidth="1"/>
    <col min="34" max="37" width="14" customWidth="1"/>
  </cols>
  <sheetData>
    <row r="1" ht="32" customHeight="1" spans="1:37">
      <c r="A1" s="28" t="s">
        <v>638</v>
      </c>
    </row>
    <row r="2" ht="34" customHeight="1" spans="1:37">
      <c r="A2" s="29" t="s">
        <v>639</v>
      </c>
    </row>
    <row r="4" ht="30" customHeight="1" spans="1:37">
      <c r="A4" s="19" t="s">
        <v>640</v>
      </c>
      <c r="B4" s="19" t="s">
        <v>641</v>
      </c>
      <c r="C4" s="19" t="s">
        <v>642</v>
      </c>
      <c r="D4" s="19" t="s">
        <v>643</v>
      </c>
      <c r="E4" s="19" t="s">
        <v>644</v>
      </c>
      <c r="F4" s="19" t="s">
        <v>645</v>
      </c>
      <c r="G4" s="19" t="s">
        <v>646</v>
      </c>
      <c r="H4" s="19" t="s">
        <v>647</v>
      </c>
      <c r="I4" s="19" t="s">
        <v>648</v>
      </c>
      <c r="J4" s="19" t="s">
        <v>649</v>
      </c>
      <c r="K4" s="19" t="s">
        <v>650</v>
      </c>
      <c r="L4" s="19" t="s">
        <v>651</v>
      </c>
      <c r="M4" s="19" t="s">
        <v>652</v>
      </c>
      <c r="N4" s="19" t="s">
        <v>653</v>
      </c>
      <c r="O4" s="19" t="s">
        <v>26</v>
      </c>
      <c r="P4" s="19" t="s">
        <v>238</v>
      </c>
      <c r="Q4" s="19" t="s">
        <v>239</v>
      </c>
      <c r="R4" s="19" t="s">
        <v>240</v>
      </c>
      <c r="S4" s="19" t="s">
        <v>438</v>
      </c>
      <c r="T4" s="19" t="s">
        <v>439</v>
      </c>
      <c r="U4" s="19" t="s">
        <v>440</v>
      </c>
      <c r="V4" s="19" t="s">
        <v>574</v>
      </c>
      <c r="W4" s="19" t="s">
        <v>575</v>
      </c>
      <c r="X4" s="19" t="s">
        <v>241</v>
      </c>
      <c r="Y4" s="19" t="s">
        <v>654</v>
      </c>
      <c r="Z4" s="19" t="s">
        <v>655</v>
      </c>
      <c r="AA4" s="19" t="s">
        <v>656</v>
      </c>
      <c r="AB4" s="19" t="s">
        <v>657</v>
      </c>
      <c r="AC4" s="19" t="s">
        <v>580</v>
      </c>
      <c r="AD4" s="19" t="s">
        <v>658</v>
      </c>
      <c r="AE4" s="19" t="s">
        <v>659</v>
      </c>
      <c r="AF4" s="19" t="s">
        <v>660</v>
      </c>
      <c r="AG4" s="19" t="s">
        <v>661</v>
      </c>
      <c r="AH4" s="3" t="s">
        <v>662</v>
      </c>
      <c r="AI4" s="3" t="s">
        <v>663</v>
      </c>
      <c r="AJ4" s="3" t="s">
        <v>664</v>
      </c>
      <c r="AK4" s="3" t="s">
        <v>665</v>
      </c>
    </row>
    <row r="5" ht="48" customHeight="1" spans="1:37">
      <c r="A5" s="30" t="s">
        <v>666</v>
      </c>
      <c r="B5" s="5" t="s">
        <v>667</v>
      </c>
      <c r="C5" s="5" t="s">
        <v>582</v>
      </c>
      <c r="D5" s="5" t="s">
        <v>144</v>
      </c>
      <c r="E5" s="5" t="s">
        <v>159</v>
      </c>
      <c r="F5" s="5" t="s">
        <v>242</v>
      </c>
      <c r="G5" s="5" t="s">
        <v>187</v>
      </c>
      <c r="H5" s="5" t="s">
        <v>191</v>
      </c>
      <c r="I5" s="5" t="s">
        <v>441</v>
      </c>
      <c r="J5" s="5" t="s">
        <v>457</v>
      </c>
      <c r="K5" s="5" t="s">
        <v>469</v>
      </c>
      <c r="L5" s="5" t="s">
        <v>479</v>
      </c>
      <c r="M5" s="5" t="s">
        <v>586</v>
      </c>
      <c r="N5" s="5" t="s">
        <v>209</v>
      </c>
      <c r="O5" s="31">
        <f>0+SUMIF('07数值索引'!$A$5:$A$80,C5,'07数值索引'!$D$5:$D$80)+SUMIF('07数值索引'!$A$5:$A$80,D5,'07数值索引'!$D$5:$D$80)+SUMIF('07数值索引'!$A$5:$A$80,E5,'07数值索引'!$D$5:$D$80)+SUMIF('07数值索引'!$A$5:$A$80,F5,'07数值索引'!$D$5:$D$80)+SUMIF('07数值索引'!$A$5:$A$80,G5,'07数值索引'!$D$5:$D$80)+SUMIF('07数值索引'!$A$5:$A$80,H5,'07数值索引'!$D$5:$D$80)+SUMIF('07数值索引'!$A$5:$A$80,I5,'07数值索引'!$D$5:$D$80)+SUMIF('07数值索引'!$A$5:$A$80,J5,'07数值索引'!$D$5:$D$80)+SUMIF('07数值索引'!$A$5:$A$80,K5,'07数值索引'!$D$5:$D$80)+SUMIF('07数值索引'!$A$5:$A$80,L5,'07数值索引'!$D$5:$D$80)+SUMIF('07数值索引'!$A$5:$A$80,M5,'07数值索引'!$D$5:$D$80)+SUMIF('07数值索引'!$A$5:$A$80,N5,'07数值索引'!$D$5:$D$80)</f>
        <v>16</v>
      </c>
      <c r="P5" s="31">
        <f>0+SUMIF('07数值索引'!$A$5:$A$80,C5,'07数值索引'!$E$5:$E$80)+SUMIF('07数值索引'!$A$5:$A$80,D5,'07数值索引'!$E$5:$E$80)+SUMIF('07数值索引'!$A$5:$A$80,E5,'07数值索引'!$E$5:$E$80)+SUMIF('07数值索引'!$A$5:$A$80,F5,'07数值索引'!$E$5:$E$80)+SUMIF('07数值索引'!$A$5:$A$80,G5,'07数值索引'!$E$5:$E$80)+SUMIF('07数值索引'!$A$5:$A$80,H5,'07数值索引'!$E$5:$E$80)+SUMIF('07数值索引'!$A$5:$A$80,I5,'07数值索引'!$E$5:$E$80)+SUMIF('07数值索引'!$A$5:$A$80,J5,'07数值索引'!$E$5:$E$80)+SUMIF('07数值索引'!$A$5:$A$80,K5,'07数值索引'!$E$5:$E$80)+SUMIF('07数值索引'!$A$5:$A$80,L5,'07数值索引'!$E$5:$E$80)+SUMIF('07数值索引'!$A$5:$A$80,M5,'07数值索引'!$E$5:$E$80)+SUMIF('07数值索引'!$A$5:$A$80,N5,'07数值索引'!$E$5:$E$80)</f>
        <v>-1</v>
      </c>
      <c r="Q5" s="31">
        <f>0+SUMIF('07数值索引'!$A$5:$A$80,C5,'07数值索引'!$F$5:$F$80)+SUMIF('07数值索引'!$A$5:$A$80,D5,'07数值索引'!$F$5:$F$80)+SUMIF('07数值索引'!$A$5:$A$80,E5,'07数值索引'!$F$5:$F$80)+SUMIF('07数值索引'!$A$5:$A$80,F5,'07数值索引'!$F$5:$F$80)+SUMIF('07数值索引'!$A$5:$A$80,G5,'07数值索引'!$F$5:$F$80)+SUMIF('07数值索引'!$A$5:$A$80,H5,'07数值索引'!$F$5:$F$80)+SUMIF('07数值索引'!$A$5:$A$80,I5,'07数值索引'!$F$5:$F$80)+SUMIF('07数值索引'!$A$5:$A$80,J5,'07数值索引'!$F$5:$F$80)+SUMIF('07数值索引'!$A$5:$A$80,K5,'07数值索引'!$F$5:$F$80)+SUMIF('07数值索引'!$A$5:$A$80,L5,'07数值索引'!$F$5:$F$80)+SUMIF('07数值索引'!$A$5:$A$80,M5,'07数值索引'!$F$5:$F$80)+SUMIF('07数值索引'!$A$5:$A$80,N5,'07数值索引'!$F$5:$F$80)</f>
        <v>12</v>
      </c>
      <c r="R5" s="31">
        <f>0+SUMIF('07数值索引'!$A$5:$A$80,C5,'07数值索引'!$G$5:$G$80)+SUMIF('07数值索引'!$A$5:$A$80,D5,'07数值索引'!$G$5:$G$80)+SUMIF('07数值索引'!$A$5:$A$80,E5,'07数值索引'!$G$5:$G$80)+SUMIF('07数值索引'!$A$5:$A$80,F5,'07数值索引'!$G$5:$G$80)+SUMIF('07数值索引'!$A$5:$A$80,G5,'07数值索引'!$G$5:$G$80)+SUMIF('07数值索引'!$A$5:$A$80,H5,'07数值索引'!$G$5:$G$80)+SUMIF('07数值索引'!$A$5:$A$80,I5,'07数值索引'!$G$5:$G$80)+SUMIF('07数值索引'!$A$5:$A$80,J5,'07数值索引'!$G$5:$G$80)+SUMIF('07数值索引'!$A$5:$A$80,K5,'07数值索引'!$G$5:$G$80)+SUMIF('07数值索引'!$A$5:$A$80,L5,'07数值索引'!$G$5:$G$80)+SUMIF('07数值索引'!$A$5:$A$80,M5,'07数值索引'!$G$5:$G$80)+SUMIF('07数值索引'!$A$5:$A$80,N5,'07数值索引'!$G$5:$G$80)</f>
        <v>5</v>
      </c>
      <c r="S5" s="5">
        <f>0+SUMIF('07数值索引'!$A$5:$A$80,C5,'07数值索引'!$H$5:$H$80)+SUMIF('07数值索引'!$A$5:$A$80,D5,'07数值索引'!$H$5:$H$80)+SUMIF('07数值索引'!$A$5:$A$80,E5,'07数值索引'!$H$5:$H$80)+SUMIF('07数值索引'!$A$5:$A$80,F5,'07数值索引'!$H$5:$H$80)+SUMIF('07数值索引'!$A$5:$A$80,G5,'07数值索引'!$H$5:$H$80)+SUMIF('07数值索引'!$A$5:$A$80,H5,'07数值索引'!$H$5:$H$80)+SUMIF('07数值索引'!$A$5:$A$80,I5,'07数值索引'!$H$5:$H$80)+SUMIF('07数值索引'!$A$5:$A$80,J5,'07数值索引'!$H$5:$H$80)+SUMIF('07数值索引'!$A$5:$A$80,K5,'07数值索引'!$H$5:$H$80)+SUMIF('07数值索引'!$A$5:$A$80,L5,'07数值索引'!$H$5:$H$80)+SUMIF('07数值索引'!$A$5:$A$80,M5,'07数值索引'!$H$5:$H$80)+SUMIF('07数值索引'!$A$5:$A$80,N5,'07数值索引'!$H$5:$H$80)</f>
        <v>2</v>
      </c>
      <c r="T5" s="5">
        <f>0+SUMIF('07数值索引'!$A$5:$A$80,C5,'07数值索引'!$I$5:$I$80)+SUMIF('07数值索引'!$A$5:$A$80,D5,'07数值索引'!$I$5:$I$80)+SUMIF('07数值索引'!$A$5:$A$80,E5,'07数值索引'!$I$5:$I$80)+SUMIF('07数值索引'!$A$5:$A$80,F5,'07数值索引'!$I$5:$I$80)+SUMIF('07数值索引'!$A$5:$A$80,G5,'07数值索引'!$I$5:$I$80)+SUMIF('07数值索引'!$A$5:$A$80,H5,'07数值索引'!$I$5:$I$80)+SUMIF('07数值索引'!$A$5:$A$80,I5,'07数值索引'!$I$5:$I$80)+SUMIF('07数值索引'!$A$5:$A$80,J5,'07数值索引'!$I$5:$I$80)+SUMIF('07数值索引'!$A$5:$A$80,K5,'07数值索引'!$I$5:$I$80)+SUMIF('07数值索引'!$A$5:$A$80,L5,'07数值索引'!$I$5:$I$80)+SUMIF('07数值索引'!$A$5:$A$80,M5,'07数值索引'!$I$5:$I$80)+SUMIF('07数值索引'!$A$5:$A$80,N5,'07数值索引'!$I$5:$I$80)</f>
        <v>0</v>
      </c>
      <c r="U5" s="5">
        <f>0+SUMIF('07数值索引'!$A$5:$A$80,C5,'07数值索引'!$J$5:$J$80)+SUMIF('07数值索引'!$A$5:$A$80,D5,'07数值索引'!$J$5:$J$80)+SUMIF('07数值索引'!$A$5:$A$80,E5,'07数值索引'!$J$5:$J$80)+SUMIF('07数值索引'!$A$5:$A$80,F5,'07数值索引'!$J$5:$J$80)+SUMIF('07数值索引'!$A$5:$A$80,G5,'07数值索引'!$J$5:$J$80)+SUMIF('07数值索引'!$A$5:$A$80,H5,'07数值索引'!$J$5:$J$80)+SUMIF('07数值索引'!$A$5:$A$80,I5,'07数值索引'!$J$5:$J$80)+SUMIF('07数值索引'!$A$5:$A$80,J5,'07数值索引'!$J$5:$J$80)+SUMIF('07数值索引'!$A$5:$A$80,K5,'07数值索引'!$J$5:$J$80)+SUMIF('07数值索引'!$A$5:$A$80,L5,'07数值索引'!$J$5:$J$80)+SUMIF('07数值索引'!$A$5:$A$80,M5,'07数值索引'!$J$5:$J$80)+SUMIF('07数值索引'!$A$5:$A$80,N5,'07数值索引'!$J$5:$J$80)</f>
        <v>0</v>
      </c>
      <c r="V5" s="5">
        <f>0+SUMIF('07数值索引'!$A$5:$A$80,C5,'07数值索引'!$K$5:$K$80)+SUMIF('07数值索引'!$A$5:$A$80,D5,'07数值索引'!$K$5:$K$80)+SUMIF('07数值索引'!$A$5:$A$80,E5,'07数值索引'!$K$5:$K$80)+SUMIF('07数值索引'!$A$5:$A$80,F5,'07数值索引'!$K$5:$K$80)+SUMIF('07数值索引'!$A$5:$A$80,G5,'07数值索引'!$K$5:$K$80)+SUMIF('07数值索引'!$A$5:$A$80,H5,'07数值索引'!$K$5:$K$80)+SUMIF('07数值索引'!$A$5:$A$80,I5,'07数值索引'!$K$5:$K$80)+SUMIF('07数值索引'!$A$5:$A$80,J5,'07数值索引'!$K$5:$K$80)+SUMIF('07数值索引'!$A$5:$A$80,K5,'07数值索引'!$K$5:$K$80)+SUMIF('07数值索引'!$A$5:$A$80,L5,'07数值索引'!$K$5:$K$80)+SUMIF('07数值索引'!$A$5:$A$80,M5,'07数值索引'!$K$5:$K$80)+SUMIF('07数值索引'!$A$5:$A$80,N5,'07数值索引'!$K$5:$K$80)</f>
        <v>0</v>
      </c>
      <c r="W5" s="5">
        <f>0+SUMIF('07数值索引'!$A$5:$A$80,C5,'07数值索引'!$L$5:$L$80)+SUMIF('07数值索引'!$A$5:$A$80,D5,'07数值索引'!$L$5:$L$80)+SUMIF('07数值索引'!$A$5:$A$80,E5,'07数值索引'!$L$5:$L$80)+SUMIF('07数值索引'!$A$5:$A$80,F5,'07数值索引'!$L$5:$L$80)+SUMIF('07数值索引'!$A$5:$A$80,G5,'07数值索引'!$L$5:$L$80)+SUMIF('07数值索引'!$A$5:$A$80,H5,'07数值索引'!$L$5:$L$80)+SUMIF('07数值索引'!$A$5:$A$80,I5,'07数值索引'!$L$5:$L$80)+SUMIF('07数值索引'!$A$5:$A$80,J5,'07数值索引'!$L$5:$L$80)+SUMIF('07数值索引'!$A$5:$A$80,K5,'07数值索引'!$L$5:$L$80)+SUMIF('07数值索引'!$A$5:$A$80,L5,'07数值索引'!$L$5:$L$80)+SUMIF('07数值索引'!$A$5:$A$80,M5,'07数值索引'!$L$5:$L$80)+SUMIF('07数值索引'!$A$5:$A$80,N5,'07数值索引'!$L$5:$L$80)</f>
        <v>0</v>
      </c>
      <c r="X5" s="5">
        <f>0+SUMIF('07数值索引'!$A$5:$A$80,C5,'07数值索引'!$M$5:$M$80)+SUMIF('07数值索引'!$A$5:$A$80,D5,'07数值索引'!$M$5:$M$80)+SUMIF('07数值索引'!$A$5:$A$80,E5,'07数值索引'!$M$5:$M$80)+SUMIF('07数值索引'!$A$5:$A$80,F5,'07数值索引'!$M$5:$M$80)+SUMIF('07数值索引'!$A$5:$A$80,G5,'07数值索引'!$M$5:$M$80)+SUMIF('07数值索引'!$A$5:$A$80,H5,'07数值索引'!$M$5:$M$80)+SUMIF('07数值索引'!$A$5:$A$80,I5,'07数值索引'!$M$5:$M$80)+SUMIF('07数值索引'!$A$5:$A$80,J5,'07数值索引'!$M$5:$M$80)+SUMIF('07数值索引'!$A$5:$A$80,K5,'07数值索引'!$M$5:$M$80)+SUMIF('07数值索引'!$A$5:$A$80,L5,'07数值索引'!$M$5:$M$80)+SUMIF('07数值索引'!$A$5:$A$80,M5,'07数值索引'!$M$5:$M$80)+SUMIF('07数值索引'!$A$5:$A$80,N5,'07数值索引'!$M$5:$M$80)</f>
        <v>0</v>
      </c>
      <c r="Y5" s="5">
        <f>0+SUMIF('07数值索引'!$A$5:$A$80,C5,'07数值索引'!$N$5:$N$80)+SUMIF('07数值索引'!$A$5:$A$80,D5,'07数值索引'!$N$5:$N$80)+SUMIF('07数值索引'!$A$5:$A$80,E5,'07数值索引'!$N$5:$N$80)+SUMIF('07数值索引'!$A$5:$A$80,F5,'07数值索引'!$N$5:$N$80)+SUMIF('07数值索引'!$A$5:$A$80,G5,'07数值索引'!$N$5:$N$80)+SUMIF('07数值索引'!$A$5:$A$80,H5,'07数值索引'!$N$5:$N$80)+SUMIF('07数值索引'!$A$5:$A$80,I5,'07数值索引'!$N$5:$N$80)+SUMIF('07数值索引'!$A$5:$A$80,J5,'07数值索引'!$N$5:$N$80)+SUMIF('07数值索引'!$A$5:$A$80,K5,'07数值索引'!$N$5:$N$80)+SUMIF('07数值索引'!$A$5:$A$80,L5,'07数值索引'!$N$5:$N$80)+SUMIF('07数值索引'!$A$5:$A$80,M5,'07数值索引'!$N$5:$N$80)+SUMIF('07数值索引'!$A$5:$A$80,N5,'07数值索引'!$N$5:$N$80)</f>
        <v>1</v>
      </c>
      <c r="Z5" s="5">
        <f>0+SUMIF('07数值索引'!$A$5:$A$80,C5,'07数值索引'!$O$5:$O$80)+SUMIF('07数值索引'!$A$5:$A$80,D5,'07数值索引'!$O$5:$O$80)+SUMIF('07数值索引'!$A$5:$A$80,E5,'07数值索引'!$O$5:$O$80)+SUMIF('07数值索引'!$A$5:$A$80,F5,'07数值索引'!$O$5:$O$80)+SUMIF('07数值索引'!$A$5:$A$80,G5,'07数值索引'!$O$5:$O$80)+SUMIF('07数值索引'!$A$5:$A$80,H5,'07数值索引'!$O$5:$O$80)+SUMIF('07数值索引'!$A$5:$A$80,I5,'07数值索引'!$O$5:$O$80)+SUMIF('07数值索引'!$A$5:$A$80,J5,'07数值索引'!$O$5:$O$80)+SUMIF('07数值索引'!$A$5:$A$80,K5,'07数值索引'!$O$5:$O$80)+SUMIF('07数值索引'!$A$5:$A$80,L5,'07数值索引'!$O$5:$O$80)+SUMIF('07数值索引'!$A$5:$A$80,M5,'07数值索引'!$O$5:$O$80)+SUMIF('07数值索引'!$A$5:$A$80,N5,'07数值索引'!$O$5:$O$80)</f>
        <v>0</v>
      </c>
      <c r="AA5" s="5">
        <f>0+SUMIF('07数值索引'!$A$5:$A$80,C5,'07数值索引'!$P$5:$P$80)+SUMIF('07数值索引'!$A$5:$A$80,D5,'07数值索引'!$P$5:$P$80)+SUMIF('07数值索引'!$A$5:$A$80,E5,'07数值索引'!$P$5:$P$80)+SUMIF('07数值索引'!$A$5:$A$80,F5,'07数值索引'!$P$5:$P$80)+SUMIF('07数值索引'!$A$5:$A$80,G5,'07数值索引'!$P$5:$P$80)+SUMIF('07数值索引'!$A$5:$A$80,H5,'07数值索引'!$P$5:$P$80)+SUMIF('07数值索引'!$A$5:$A$80,I5,'07数值索引'!$P$5:$P$80)+SUMIF('07数值索引'!$A$5:$A$80,J5,'07数值索引'!$P$5:$P$80)+SUMIF('07数值索引'!$A$5:$A$80,K5,'07数值索引'!$P$5:$P$80)+SUMIF('07数值索引'!$A$5:$A$80,L5,'07数值索引'!$P$5:$P$80)+SUMIF('07数值索引'!$A$5:$A$80,M5,'07数值索引'!$P$5:$P$80)+SUMIF('07数值索引'!$A$5:$A$80,N5,'07数值索引'!$P$5:$P$80)</f>
        <v>0</v>
      </c>
      <c r="AB5" s="5">
        <f>0+SUMIF('07数值索引'!$A$5:$A$80,C5,'07数值索引'!$Q$5:$Q$80)+SUMIF('07数值索引'!$A$5:$A$80,D5,'07数值索引'!$Q$5:$Q$80)+SUMIF('07数值索引'!$A$5:$A$80,E5,'07数值索引'!$Q$5:$Q$80)+SUMIF('07数值索引'!$A$5:$A$80,F5,'07数值索引'!$Q$5:$Q$80)+SUMIF('07数值索引'!$A$5:$A$80,G5,'07数值索引'!$Q$5:$Q$80)+SUMIF('07数值索引'!$A$5:$A$80,H5,'07数值索引'!$Q$5:$Q$80)+SUMIF('07数值索引'!$A$5:$A$80,I5,'07数值索引'!$Q$5:$Q$80)+SUMIF('07数值索引'!$A$5:$A$80,J5,'07数值索引'!$Q$5:$Q$80)+SUMIF('07数值索引'!$A$5:$A$80,K5,'07数值索引'!$Q$5:$Q$80)+SUMIF('07数值索引'!$A$5:$A$80,L5,'07数值索引'!$Q$5:$Q$80)+SUMIF('07数值索引'!$A$5:$A$80,M5,'07数值索引'!$Q$5:$Q$80)+SUMIF('07数值索引'!$A$5:$A$80,N5,'07数值索引'!$Q$5:$Q$80)</f>
        <v>0</v>
      </c>
      <c r="AC5" s="5">
        <f>0+SUMIF('07数值索引'!$A$5:$A$80,C5,'07数值索引'!$R$5:$R$80)+SUMIF('07数值索引'!$A$5:$A$80,D5,'07数值索引'!$R$5:$R$80)+SUMIF('07数值索引'!$A$5:$A$80,E5,'07数值索引'!$R$5:$R$80)+SUMIF('07数值索引'!$A$5:$A$80,F5,'07数值索引'!$R$5:$R$80)+SUMIF('07数值索引'!$A$5:$A$80,G5,'07数值索引'!$R$5:$R$80)+SUMIF('07数值索引'!$A$5:$A$80,H5,'07数值索引'!$R$5:$R$80)+SUMIF('07数值索引'!$A$5:$A$80,I5,'07数值索引'!$R$5:$R$80)+SUMIF('07数值索引'!$A$5:$A$80,J5,'07数值索引'!$R$5:$R$80)+SUMIF('07数值索引'!$A$5:$A$80,K5,'07数值索引'!$R$5:$R$80)+SUMIF('07数值索引'!$A$5:$A$80,L5,'07数值索引'!$R$5:$R$80)+SUMIF('07数值索引'!$A$5:$A$80,M5,'07数值索引'!$R$5:$R$80)+SUMIF('07数值索引'!$A$5:$A$80,N5,'07数值索引'!$R$5:$R$80)</f>
        <v>0</v>
      </c>
      <c r="AD5" s="5" t="str">
        <f t="shared" ref="AD5:AD15" si="0">IF(AC5&gt;0,"《无名尸体》",IF(AND(Y5&gt;0,R5&gt;=6),"《证人之死》",IF(AND(AA5&gt;0,R5&gt;=8),"《最后一次神迹》",IF(AND(AB5&gt;0,Q5&lt;=-3,T5&gt;=2,U5&gt;0,W5&gt;0,AH5="是"),"《审判》",IF(AND(AA5&gt;0,P5&gt;=5,V5&gt;0),"《第二位圣女》",IF(AND(O5&gt;=7,S5&gt;=1,U5=0,P5&lt;=4,OR(Q5&gt;=4,Z5&gt;0)),"《继续前行》","《逃避》"))))))</f>
        <v>《继续前行》</v>
      </c>
      <c r="AE5" s="5" t="s">
        <v>549</v>
      </c>
      <c r="AF5" s="5" t="str">
        <f t="shared" ref="AF5:AF15" si="1">IF(AD5=AE5,"PASS","CHECK")</f>
        <v>PASS</v>
      </c>
      <c r="AG5" s="32" t="s">
        <v>668</v>
      </c>
      <c r="AH5" s="5" t="str">
        <f t="shared" ref="AH5:AH15" si="2">IF(AND(O5&lt;=0,T5&gt;=2,U5=1),"是","否")</f>
        <v>否</v>
      </c>
      <c r="AI5" s="5" t="str">
        <f>IF(AND(OR(C5="",COUNTIF('07数值索引'!$A$5:$A$80,C5)=1),OR(D5="",COUNTIF('07数值索引'!$A$5:$A$80,D5)=1),OR(E5="",COUNTIF('07数值索引'!$A$5:$A$80,E5)=1),OR(F5="",COUNTIF('07数值索引'!$A$5:$A$80,F5)=1),OR(G5="",COUNTIF('07数值索引'!$A$5:$A$80,G5)=1),OR(H5="",COUNTIF('07数值索引'!$A$5:$A$80,H5)=1),OR(I5="",COUNTIF('07数值索引'!$A$5:$A$80,I5)=1),OR(J5="",COUNTIF('07数值索引'!$A$5:$A$80,J5)=1),OR(K5="",COUNTIF('07数值索引'!$A$5:$A$80,K5)=1),OR(L5="",COUNTIF('07数值索引'!$A$5:$A$80,L5)=1),OR(M5="",COUNTIF('07数值索引'!$A$5:$A$80,M5)=1),OR(N5="",COUNTIF('07数值索引'!$A$5:$A$80,N5)=1)),"PASS","CHECK")</f>
        <v>PASS</v>
      </c>
      <c r="AJ5" s="5" t="str">
        <f>IFERROR(VLOOKUP(A5,'08A前置合法性'!$X$5:$Z$20,3,FALSE),"CHECK")</f>
        <v>PASS</v>
      </c>
      <c r="AK5" s="5" t="str">
        <f t="shared" ref="AK5:AK15" si="3">IF(AND(AF5="PASS",AI5="PASS",AJ5="PASS"),"PASS","CHECK")</f>
        <v>PASS</v>
      </c>
    </row>
    <row r="6" ht="48" customHeight="1" spans="1:37">
      <c r="A6" s="33" t="s">
        <v>669</v>
      </c>
      <c r="B6" s="34" t="s">
        <v>670</v>
      </c>
      <c r="C6" s="34" t="s">
        <v>582</v>
      </c>
      <c r="D6" s="34" t="s">
        <v>155</v>
      </c>
      <c r="E6" s="34" t="s">
        <v>165</v>
      </c>
      <c r="F6" s="34" t="s">
        <v>284</v>
      </c>
      <c r="G6" s="34" t="s">
        <v>183</v>
      </c>
      <c r="H6" s="34" t="s">
        <v>191</v>
      </c>
      <c r="I6" s="34" t="s">
        <v>446</v>
      </c>
      <c r="J6" s="34" t="s">
        <v>461</v>
      </c>
      <c r="K6" s="34" t="s">
        <v>473</v>
      </c>
      <c r="L6" s="34" t="s">
        <v>479</v>
      </c>
      <c r="M6" s="34" t="s">
        <v>586</v>
      </c>
      <c r="N6" s="34" t="s">
        <v>214</v>
      </c>
      <c r="O6" s="35">
        <f>0+SUMIF('07数值索引'!$A$5:$A$80,C6,'07数值索引'!$D$5:$D$80)+SUMIF('07数值索引'!$A$5:$A$80,D6,'07数值索引'!$D$5:$D$80)+SUMIF('07数值索引'!$A$5:$A$80,E6,'07数值索引'!$D$5:$D$80)+SUMIF('07数值索引'!$A$5:$A$80,F6,'07数值索引'!$D$5:$D$80)+SUMIF('07数值索引'!$A$5:$A$80,G6,'07数值索引'!$D$5:$D$80)+SUMIF('07数值索引'!$A$5:$A$80,H6,'07数值索引'!$D$5:$D$80)+SUMIF('07数值索引'!$A$5:$A$80,I6,'07数值索引'!$D$5:$D$80)+SUMIF('07数值索引'!$A$5:$A$80,J6,'07数值索引'!$D$5:$D$80)+SUMIF('07数值索引'!$A$5:$A$80,K6,'07数值索引'!$D$5:$D$80)+SUMIF('07数值索引'!$A$5:$A$80,L6,'07数值索引'!$D$5:$D$80)+SUMIF('07数值索引'!$A$5:$A$80,M6,'07数值索引'!$D$5:$D$80)+SUMIF('07数值索引'!$A$5:$A$80,N6,'07数值索引'!$D$5:$D$80)</f>
        <v>14</v>
      </c>
      <c r="P6" s="35">
        <f>0+SUMIF('07数值索引'!$A$5:$A$80,C6,'07数值索引'!$E$5:$E$80)+SUMIF('07数值索引'!$A$5:$A$80,D6,'07数值索引'!$E$5:$E$80)+SUMIF('07数值索引'!$A$5:$A$80,E6,'07数值索引'!$E$5:$E$80)+SUMIF('07数值索引'!$A$5:$A$80,F6,'07数值索引'!$E$5:$E$80)+SUMIF('07数值索引'!$A$5:$A$80,G6,'07数值索引'!$E$5:$E$80)+SUMIF('07数值索引'!$A$5:$A$80,H6,'07数值索引'!$E$5:$E$80)+SUMIF('07数值索引'!$A$5:$A$80,I6,'07数值索引'!$E$5:$E$80)+SUMIF('07数值索引'!$A$5:$A$80,J6,'07数值索引'!$E$5:$E$80)+SUMIF('07数值索引'!$A$5:$A$80,K6,'07数值索引'!$E$5:$E$80)+SUMIF('07数值索引'!$A$5:$A$80,L6,'07数值索引'!$E$5:$E$80)+SUMIF('07数值索引'!$A$5:$A$80,M6,'07数值索引'!$E$5:$E$80)+SUMIF('07数值索引'!$A$5:$A$80,N6,'07数值索引'!$E$5:$E$80)</f>
        <v>-1</v>
      </c>
      <c r="Q6" s="35">
        <f>0+SUMIF('07数值索引'!$A$5:$A$80,C6,'07数值索引'!$F$5:$F$80)+SUMIF('07数值索引'!$A$5:$A$80,D6,'07数值索引'!$F$5:$F$80)+SUMIF('07数值索引'!$A$5:$A$80,E6,'07数值索引'!$F$5:$F$80)+SUMIF('07数值索引'!$A$5:$A$80,F6,'07数值索引'!$F$5:$F$80)+SUMIF('07数值索引'!$A$5:$A$80,G6,'07数值索引'!$F$5:$F$80)+SUMIF('07数值索引'!$A$5:$A$80,H6,'07数值索引'!$F$5:$F$80)+SUMIF('07数值索引'!$A$5:$A$80,I6,'07数值索引'!$F$5:$F$80)+SUMIF('07数值索引'!$A$5:$A$80,J6,'07数值索引'!$F$5:$F$80)+SUMIF('07数值索引'!$A$5:$A$80,K6,'07数值索引'!$F$5:$F$80)+SUMIF('07数值索引'!$A$5:$A$80,L6,'07数值索引'!$F$5:$F$80)+SUMIF('07数值索引'!$A$5:$A$80,M6,'07数值索引'!$F$5:$F$80)+SUMIF('07数值索引'!$A$5:$A$80,N6,'07数值索引'!$F$5:$F$80)</f>
        <v>4</v>
      </c>
      <c r="R6" s="35">
        <f>0+SUMIF('07数值索引'!$A$5:$A$80,C6,'07数值索引'!$G$5:$G$80)+SUMIF('07数值索引'!$A$5:$A$80,D6,'07数值索引'!$G$5:$G$80)+SUMIF('07数值索引'!$A$5:$A$80,E6,'07数值索引'!$G$5:$G$80)+SUMIF('07数值索引'!$A$5:$A$80,F6,'07数值索引'!$G$5:$G$80)+SUMIF('07数值索引'!$A$5:$A$80,G6,'07数值索引'!$G$5:$G$80)+SUMIF('07数值索引'!$A$5:$A$80,H6,'07数值索引'!$G$5:$G$80)+SUMIF('07数值索引'!$A$5:$A$80,I6,'07数值索引'!$G$5:$G$80)+SUMIF('07数值索引'!$A$5:$A$80,J6,'07数值索引'!$G$5:$G$80)+SUMIF('07数值索引'!$A$5:$A$80,K6,'07数值索引'!$G$5:$G$80)+SUMIF('07数值索引'!$A$5:$A$80,L6,'07数值索引'!$G$5:$G$80)+SUMIF('07数值索引'!$A$5:$A$80,M6,'07数值索引'!$G$5:$G$80)+SUMIF('07数值索引'!$A$5:$A$80,N6,'07数值索引'!$G$5:$G$80)</f>
        <v>2</v>
      </c>
      <c r="S6" s="34">
        <f>0+SUMIF('07数值索引'!$A$5:$A$80,C6,'07数值索引'!$H$5:$H$80)+SUMIF('07数值索引'!$A$5:$A$80,D6,'07数值索引'!$H$5:$H$80)+SUMIF('07数值索引'!$A$5:$A$80,E6,'07数值索引'!$H$5:$H$80)+SUMIF('07数值索引'!$A$5:$A$80,F6,'07数值索引'!$H$5:$H$80)+SUMIF('07数值索引'!$A$5:$A$80,G6,'07数值索引'!$H$5:$H$80)+SUMIF('07数值索引'!$A$5:$A$80,H6,'07数值索引'!$H$5:$H$80)+SUMIF('07数值索引'!$A$5:$A$80,I6,'07数值索引'!$H$5:$H$80)+SUMIF('07数值索引'!$A$5:$A$80,J6,'07数值索引'!$H$5:$H$80)+SUMIF('07数值索引'!$A$5:$A$80,K6,'07数值索引'!$H$5:$H$80)+SUMIF('07数值索引'!$A$5:$A$80,L6,'07数值索引'!$H$5:$H$80)+SUMIF('07数值索引'!$A$5:$A$80,M6,'07数值索引'!$H$5:$H$80)+SUMIF('07数值索引'!$A$5:$A$80,N6,'07数值索引'!$H$5:$H$80)</f>
        <v>2</v>
      </c>
      <c r="T6" s="34">
        <f>0+SUMIF('07数值索引'!$A$5:$A$80,C6,'07数值索引'!$I$5:$I$80)+SUMIF('07数值索引'!$A$5:$A$80,D6,'07数值索引'!$I$5:$I$80)+SUMIF('07数值索引'!$A$5:$A$80,E6,'07数值索引'!$I$5:$I$80)+SUMIF('07数值索引'!$A$5:$A$80,F6,'07数值索引'!$I$5:$I$80)+SUMIF('07数值索引'!$A$5:$A$80,G6,'07数值索引'!$I$5:$I$80)+SUMIF('07数值索引'!$A$5:$A$80,H6,'07数值索引'!$I$5:$I$80)+SUMIF('07数值索引'!$A$5:$A$80,I6,'07数值索引'!$I$5:$I$80)+SUMIF('07数值索引'!$A$5:$A$80,J6,'07数值索引'!$I$5:$I$80)+SUMIF('07数值索引'!$A$5:$A$80,K6,'07数值索引'!$I$5:$I$80)+SUMIF('07数值索引'!$A$5:$A$80,L6,'07数值索引'!$I$5:$I$80)+SUMIF('07数值索引'!$A$5:$A$80,M6,'07数值索引'!$I$5:$I$80)+SUMIF('07数值索引'!$A$5:$A$80,N6,'07数值索引'!$I$5:$I$80)</f>
        <v>0</v>
      </c>
      <c r="U6" s="34">
        <f>0+SUMIF('07数值索引'!$A$5:$A$80,C6,'07数值索引'!$J$5:$J$80)+SUMIF('07数值索引'!$A$5:$A$80,D6,'07数值索引'!$J$5:$J$80)+SUMIF('07数值索引'!$A$5:$A$80,E6,'07数值索引'!$J$5:$J$80)+SUMIF('07数值索引'!$A$5:$A$80,F6,'07数值索引'!$J$5:$J$80)+SUMIF('07数值索引'!$A$5:$A$80,G6,'07数值索引'!$J$5:$J$80)+SUMIF('07数值索引'!$A$5:$A$80,H6,'07数值索引'!$J$5:$J$80)+SUMIF('07数值索引'!$A$5:$A$80,I6,'07数值索引'!$J$5:$J$80)+SUMIF('07数值索引'!$A$5:$A$80,J6,'07数值索引'!$J$5:$J$80)+SUMIF('07数值索引'!$A$5:$A$80,K6,'07数值索引'!$J$5:$J$80)+SUMIF('07数值索引'!$A$5:$A$80,L6,'07数值索引'!$J$5:$J$80)+SUMIF('07数值索引'!$A$5:$A$80,M6,'07数值索引'!$J$5:$J$80)+SUMIF('07数值索引'!$A$5:$A$80,N6,'07数值索引'!$J$5:$J$80)</f>
        <v>0</v>
      </c>
      <c r="V6" s="34">
        <f>0+SUMIF('07数值索引'!$A$5:$A$80,C6,'07数值索引'!$K$5:$K$80)+SUMIF('07数值索引'!$A$5:$A$80,D6,'07数值索引'!$K$5:$K$80)+SUMIF('07数值索引'!$A$5:$A$80,E6,'07数值索引'!$K$5:$K$80)+SUMIF('07数值索引'!$A$5:$A$80,F6,'07数值索引'!$K$5:$K$80)+SUMIF('07数值索引'!$A$5:$A$80,G6,'07数值索引'!$K$5:$K$80)+SUMIF('07数值索引'!$A$5:$A$80,H6,'07数值索引'!$K$5:$K$80)+SUMIF('07数值索引'!$A$5:$A$80,I6,'07数值索引'!$K$5:$K$80)+SUMIF('07数值索引'!$A$5:$A$80,J6,'07数值索引'!$K$5:$K$80)+SUMIF('07数值索引'!$A$5:$A$80,K6,'07数值索引'!$K$5:$K$80)+SUMIF('07数值索引'!$A$5:$A$80,L6,'07数值索引'!$K$5:$K$80)+SUMIF('07数值索引'!$A$5:$A$80,M6,'07数值索引'!$K$5:$K$80)+SUMIF('07数值索引'!$A$5:$A$80,N6,'07数值索引'!$K$5:$K$80)</f>
        <v>0</v>
      </c>
      <c r="W6" s="34">
        <f>0+SUMIF('07数值索引'!$A$5:$A$80,C6,'07数值索引'!$L$5:$L$80)+SUMIF('07数值索引'!$A$5:$A$80,D6,'07数值索引'!$L$5:$L$80)+SUMIF('07数值索引'!$A$5:$A$80,E6,'07数值索引'!$L$5:$L$80)+SUMIF('07数值索引'!$A$5:$A$80,F6,'07数值索引'!$L$5:$L$80)+SUMIF('07数值索引'!$A$5:$A$80,G6,'07数值索引'!$L$5:$L$80)+SUMIF('07数值索引'!$A$5:$A$80,H6,'07数值索引'!$L$5:$L$80)+SUMIF('07数值索引'!$A$5:$A$80,I6,'07数值索引'!$L$5:$L$80)+SUMIF('07数值索引'!$A$5:$A$80,J6,'07数值索引'!$L$5:$L$80)+SUMIF('07数值索引'!$A$5:$A$80,K6,'07数值索引'!$L$5:$L$80)+SUMIF('07数值索引'!$A$5:$A$80,L6,'07数值索引'!$L$5:$L$80)+SUMIF('07数值索引'!$A$5:$A$80,M6,'07数值索引'!$L$5:$L$80)+SUMIF('07数值索引'!$A$5:$A$80,N6,'07数值索引'!$L$5:$L$80)</f>
        <v>0</v>
      </c>
      <c r="X6" s="34">
        <f>0+SUMIF('07数值索引'!$A$5:$A$80,C6,'07数值索引'!$M$5:$M$80)+SUMIF('07数值索引'!$A$5:$A$80,D6,'07数值索引'!$M$5:$M$80)+SUMIF('07数值索引'!$A$5:$A$80,E6,'07数值索引'!$M$5:$M$80)+SUMIF('07数值索引'!$A$5:$A$80,F6,'07数值索引'!$M$5:$M$80)+SUMIF('07数值索引'!$A$5:$A$80,G6,'07数值索引'!$M$5:$M$80)+SUMIF('07数值索引'!$A$5:$A$80,H6,'07数值索引'!$M$5:$M$80)+SUMIF('07数值索引'!$A$5:$A$80,I6,'07数值索引'!$M$5:$M$80)+SUMIF('07数值索引'!$A$5:$A$80,J6,'07数值索引'!$M$5:$M$80)+SUMIF('07数值索引'!$A$5:$A$80,K6,'07数值索引'!$M$5:$M$80)+SUMIF('07数值索引'!$A$5:$A$80,L6,'07数值索引'!$M$5:$M$80)+SUMIF('07数值索引'!$A$5:$A$80,M6,'07数值索引'!$M$5:$M$80)+SUMIF('07数值索引'!$A$5:$A$80,N6,'07数值索引'!$M$5:$M$80)</f>
        <v>4</v>
      </c>
      <c r="Y6" s="34">
        <f>0+SUMIF('07数值索引'!$A$5:$A$80,C6,'07数值索引'!$N$5:$N$80)+SUMIF('07数值索引'!$A$5:$A$80,D6,'07数值索引'!$N$5:$N$80)+SUMIF('07数值索引'!$A$5:$A$80,E6,'07数值索引'!$N$5:$N$80)+SUMIF('07数值索引'!$A$5:$A$80,F6,'07数值索引'!$N$5:$N$80)+SUMIF('07数值索引'!$A$5:$A$80,G6,'07数值索引'!$N$5:$N$80)+SUMIF('07数值索引'!$A$5:$A$80,H6,'07数值索引'!$N$5:$N$80)+SUMIF('07数值索引'!$A$5:$A$80,I6,'07数值索引'!$N$5:$N$80)+SUMIF('07数值索引'!$A$5:$A$80,J6,'07数值索引'!$N$5:$N$80)+SUMIF('07数值索引'!$A$5:$A$80,K6,'07数值索引'!$N$5:$N$80)+SUMIF('07数值索引'!$A$5:$A$80,L6,'07数值索引'!$N$5:$N$80)+SUMIF('07数值索引'!$A$5:$A$80,M6,'07数值索引'!$N$5:$N$80)+SUMIF('07数值索引'!$A$5:$A$80,N6,'07数值索引'!$N$5:$N$80)</f>
        <v>0</v>
      </c>
      <c r="Z6" s="34">
        <f>0+SUMIF('07数值索引'!$A$5:$A$80,C6,'07数值索引'!$O$5:$O$80)+SUMIF('07数值索引'!$A$5:$A$80,D6,'07数值索引'!$O$5:$O$80)+SUMIF('07数值索引'!$A$5:$A$80,E6,'07数值索引'!$O$5:$O$80)+SUMIF('07数值索引'!$A$5:$A$80,F6,'07数值索引'!$O$5:$O$80)+SUMIF('07数值索引'!$A$5:$A$80,G6,'07数值索引'!$O$5:$O$80)+SUMIF('07数值索引'!$A$5:$A$80,H6,'07数值索引'!$O$5:$O$80)+SUMIF('07数值索引'!$A$5:$A$80,I6,'07数值索引'!$O$5:$O$80)+SUMIF('07数值索引'!$A$5:$A$80,J6,'07数值索引'!$O$5:$O$80)+SUMIF('07数值索引'!$A$5:$A$80,K6,'07数值索引'!$O$5:$O$80)+SUMIF('07数值索引'!$A$5:$A$80,L6,'07数值索引'!$O$5:$O$80)+SUMIF('07数值索引'!$A$5:$A$80,M6,'07数值索引'!$O$5:$O$80)+SUMIF('07数值索引'!$A$5:$A$80,N6,'07数值索引'!$O$5:$O$80)</f>
        <v>1</v>
      </c>
      <c r="AA6" s="34">
        <f>0+SUMIF('07数值索引'!$A$5:$A$80,C6,'07数值索引'!$P$5:$P$80)+SUMIF('07数值索引'!$A$5:$A$80,D6,'07数值索引'!$P$5:$P$80)+SUMIF('07数值索引'!$A$5:$A$80,E6,'07数值索引'!$P$5:$P$80)+SUMIF('07数值索引'!$A$5:$A$80,F6,'07数值索引'!$P$5:$P$80)+SUMIF('07数值索引'!$A$5:$A$80,G6,'07数值索引'!$P$5:$P$80)+SUMIF('07数值索引'!$A$5:$A$80,H6,'07数值索引'!$P$5:$P$80)+SUMIF('07数值索引'!$A$5:$A$80,I6,'07数值索引'!$P$5:$P$80)+SUMIF('07数值索引'!$A$5:$A$80,J6,'07数值索引'!$P$5:$P$80)+SUMIF('07数值索引'!$A$5:$A$80,K6,'07数值索引'!$P$5:$P$80)+SUMIF('07数值索引'!$A$5:$A$80,L6,'07数值索引'!$P$5:$P$80)+SUMIF('07数值索引'!$A$5:$A$80,M6,'07数值索引'!$P$5:$P$80)+SUMIF('07数值索引'!$A$5:$A$80,N6,'07数值索引'!$P$5:$P$80)</f>
        <v>0</v>
      </c>
      <c r="AB6" s="34">
        <f>0+SUMIF('07数值索引'!$A$5:$A$80,C6,'07数值索引'!$Q$5:$Q$80)+SUMIF('07数值索引'!$A$5:$A$80,D6,'07数值索引'!$Q$5:$Q$80)+SUMIF('07数值索引'!$A$5:$A$80,E6,'07数值索引'!$Q$5:$Q$80)+SUMIF('07数值索引'!$A$5:$A$80,F6,'07数值索引'!$Q$5:$Q$80)+SUMIF('07数值索引'!$A$5:$A$80,G6,'07数值索引'!$Q$5:$Q$80)+SUMIF('07数值索引'!$A$5:$A$80,H6,'07数值索引'!$Q$5:$Q$80)+SUMIF('07数值索引'!$A$5:$A$80,I6,'07数值索引'!$Q$5:$Q$80)+SUMIF('07数值索引'!$A$5:$A$80,J6,'07数值索引'!$Q$5:$Q$80)+SUMIF('07数值索引'!$A$5:$A$80,K6,'07数值索引'!$Q$5:$Q$80)+SUMIF('07数值索引'!$A$5:$A$80,L6,'07数值索引'!$Q$5:$Q$80)+SUMIF('07数值索引'!$A$5:$A$80,M6,'07数值索引'!$Q$5:$Q$80)+SUMIF('07数值索引'!$A$5:$A$80,N6,'07数值索引'!$Q$5:$Q$80)</f>
        <v>0</v>
      </c>
      <c r="AC6" s="34">
        <f>0+SUMIF('07数值索引'!$A$5:$A$80,C6,'07数值索引'!$R$5:$R$80)+SUMIF('07数值索引'!$A$5:$A$80,D6,'07数值索引'!$R$5:$R$80)+SUMIF('07数值索引'!$A$5:$A$80,E6,'07数值索引'!$R$5:$R$80)+SUMIF('07数值索引'!$A$5:$A$80,F6,'07数值索引'!$R$5:$R$80)+SUMIF('07数值索引'!$A$5:$A$80,G6,'07数值索引'!$R$5:$R$80)+SUMIF('07数值索引'!$A$5:$A$80,H6,'07数值索引'!$R$5:$R$80)+SUMIF('07数值索引'!$A$5:$A$80,I6,'07数值索引'!$R$5:$R$80)+SUMIF('07数值索引'!$A$5:$A$80,J6,'07数值索引'!$R$5:$R$80)+SUMIF('07数值索引'!$A$5:$A$80,K6,'07数值索引'!$R$5:$R$80)+SUMIF('07数值索引'!$A$5:$A$80,L6,'07数值索引'!$R$5:$R$80)+SUMIF('07数值索引'!$A$5:$A$80,M6,'07数值索引'!$R$5:$R$80)+SUMIF('07数值索引'!$A$5:$A$80,N6,'07数值索引'!$R$5:$R$80)</f>
        <v>0</v>
      </c>
      <c r="AD6" s="34" t="str">
        <f t="shared" si="0"/>
        <v>《继续前行》</v>
      </c>
      <c r="AE6" s="34" t="s">
        <v>549</v>
      </c>
      <c r="AF6" s="34" t="str">
        <f t="shared" si="1"/>
        <v>PASS</v>
      </c>
      <c r="AG6" s="36" t="s">
        <v>671</v>
      </c>
      <c r="AH6" s="8" t="str">
        <f t="shared" si="2"/>
        <v>否</v>
      </c>
      <c r="AI6" s="8" t="str">
        <f>IF(AND(OR(C6="",COUNTIF('07数值索引'!$A$5:$A$80,C6)=1),OR(D6="",COUNTIF('07数值索引'!$A$5:$A$80,D6)=1),OR(E6="",COUNTIF('07数值索引'!$A$5:$A$80,E6)=1),OR(F6="",COUNTIF('07数值索引'!$A$5:$A$80,F6)=1),OR(G6="",COUNTIF('07数值索引'!$A$5:$A$80,G6)=1),OR(H6="",COUNTIF('07数值索引'!$A$5:$A$80,H6)=1),OR(I6="",COUNTIF('07数值索引'!$A$5:$A$80,I6)=1),OR(J6="",COUNTIF('07数值索引'!$A$5:$A$80,J6)=1),OR(K6="",COUNTIF('07数值索引'!$A$5:$A$80,K6)=1),OR(L6="",COUNTIF('07数值索引'!$A$5:$A$80,L6)=1),OR(M6="",COUNTIF('07数值索引'!$A$5:$A$80,M6)=1),OR(N6="",COUNTIF('07数值索引'!$A$5:$A$80,N6)=1)),"PASS","CHECK")</f>
        <v>PASS</v>
      </c>
      <c r="AJ6" s="8" t="str">
        <f>IFERROR(VLOOKUP(A6,'08A前置合法性'!$X$5:$Z$20,3,FALSE),"CHECK")</f>
        <v>PASS</v>
      </c>
      <c r="AK6" s="8" t="str">
        <f t="shared" si="3"/>
        <v>PASS</v>
      </c>
    </row>
    <row r="7" ht="48" customHeight="1" spans="1:37">
      <c r="A7" s="37" t="s">
        <v>672</v>
      </c>
      <c r="B7" s="8" t="s">
        <v>673</v>
      </c>
      <c r="C7" s="8" t="s">
        <v>582</v>
      </c>
      <c r="D7" s="8" t="s">
        <v>144</v>
      </c>
      <c r="E7" s="8" t="s">
        <v>169</v>
      </c>
      <c r="F7" s="8" t="s">
        <v>257</v>
      </c>
      <c r="G7" s="8" t="s">
        <v>187</v>
      </c>
      <c r="H7" s="8" t="s">
        <v>197</v>
      </c>
      <c r="I7" s="8" t="s">
        <v>441</v>
      </c>
      <c r="J7" s="8" t="s">
        <v>467</v>
      </c>
      <c r="K7" s="8" t="s">
        <v>469</v>
      </c>
      <c r="L7" s="8" t="s">
        <v>484</v>
      </c>
      <c r="M7" s="8" t="s">
        <v>636</v>
      </c>
      <c r="N7" s="8" t="s">
        <v>218</v>
      </c>
      <c r="O7" s="38">
        <f>0+SUMIF('07数值索引'!$A$5:$A$80,C7,'07数值索引'!$D$5:$D$80)+SUMIF('07数值索引'!$A$5:$A$80,D7,'07数值索引'!$D$5:$D$80)+SUMIF('07数值索引'!$A$5:$A$80,E7,'07数值索引'!$D$5:$D$80)+SUMIF('07数值索引'!$A$5:$A$80,F7,'07数值索引'!$D$5:$D$80)+SUMIF('07数值索引'!$A$5:$A$80,G7,'07数值索引'!$D$5:$D$80)+SUMIF('07数值索引'!$A$5:$A$80,H7,'07数值索引'!$D$5:$D$80)+SUMIF('07数值索引'!$A$5:$A$80,I7,'07数值索引'!$D$5:$D$80)+SUMIF('07数值索引'!$A$5:$A$80,J7,'07数值索引'!$D$5:$D$80)+SUMIF('07数值索引'!$A$5:$A$80,K7,'07数值索引'!$D$5:$D$80)+SUMIF('07数值索引'!$A$5:$A$80,L7,'07数值索引'!$D$5:$D$80)+SUMIF('07数值索引'!$A$5:$A$80,M7,'07数值索引'!$D$5:$D$80)+SUMIF('07数值索引'!$A$5:$A$80,N7,'07数值索引'!$D$5:$D$80)</f>
        <v>6</v>
      </c>
      <c r="P7" s="38">
        <f>0+SUMIF('07数值索引'!$A$5:$A$80,C7,'07数值索引'!$E$5:$E$80)+SUMIF('07数值索引'!$A$5:$A$80,D7,'07数值索引'!$E$5:$E$80)+SUMIF('07数值索引'!$A$5:$A$80,E7,'07数值索引'!$E$5:$E$80)+SUMIF('07数值索引'!$A$5:$A$80,F7,'07数值索引'!$E$5:$E$80)+SUMIF('07数值索引'!$A$5:$A$80,G7,'07数值索引'!$E$5:$E$80)+SUMIF('07数值索引'!$A$5:$A$80,H7,'07数值索引'!$E$5:$E$80)+SUMIF('07数值索引'!$A$5:$A$80,I7,'07数值索引'!$E$5:$E$80)+SUMIF('07数值索引'!$A$5:$A$80,J7,'07数值索引'!$E$5:$E$80)+SUMIF('07数值索引'!$A$5:$A$80,K7,'07数值索引'!$E$5:$E$80)+SUMIF('07数值索引'!$A$5:$A$80,L7,'07数值索引'!$E$5:$E$80)+SUMIF('07数值索引'!$A$5:$A$80,M7,'07数值索引'!$E$5:$E$80)+SUMIF('07数值索引'!$A$5:$A$80,N7,'07数值索引'!$E$5:$E$80)</f>
        <v>8</v>
      </c>
      <c r="Q7" s="38">
        <f>0+SUMIF('07数值索引'!$A$5:$A$80,C7,'07数值索引'!$F$5:$F$80)+SUMIF('07数值索引'!$A$5:$A$80,D7,'07数值索引'!$F$5:$F$80)+SUMIF('07数值索引'!$A$5:$A$80,E7,'07数值索引'!$F$5:$F$80)+SUMIF('07数值索引'!$A$5:$A$80,F7,'07数值索引'!$F$5:$F$80)+SUMIF('07数值索引'!$A$5:$A$80,G7,'07数值索引'!$F$5:$F$80)+SUMIF('07数值索引'!$A$5:$A$80,H7,'07数值索引'!$F$5:$F$80)+SUMIF('07数值索引'!$A$5:$A$80,I7,'07数值索引'!$F$5:$F$80)+SUMIF('07数值索引'!$A$5:$A$80,J7,'07数值索引'!$F$5:$F$80)+SUMIF('07数值索引'!$A$5:$A$80,K7,'07数值索引'!$F$5:$F$80)+SUMIF('07数值索引'!$A$5:$A$80,L7,'07数值索引'!$F$5:$F$80)+SUMIF('07数值索引'!$A$5:$A$80,M7,'07数值索引'!$F$5:$F$80)+SUMIF('07数值索引'!$A$5:$A$80,N7,'07数值索引'!$F$5:$F$80)</f>
        <v>1</v>
      </c>
      <c r="R7" s="38">
        <f>0+SUMIF('07数值索引'!$A$5:$A$80,C7,'07数值索引'!$G$5:$G$80)+SUMIF('07数值索引'!$A$5:$A$80,D7,'07数值索引'!$G$5:$G$80)+SUMIF('07数值索引'!$A$5:$A$80,E7,'07数值索引'!$G$5:$G$80)+SUMIF('07数值索引'!$A$5:$A$80,F7,'07数值索引'!$G$5:$G$80)+SUMIF('07数值索引'!$A$5:$A$80,G7,'07数值索引'!$G$5:$G$80)+SUMIF('07数值索引'!$A$5:$A$80,H7,'07数值索引'!$G$5:$G$80)+SUMIF('07数值索引'!$A$5:$A$80,I7,'07数值索引'!$G$5:$G$80)+SUMIF('07数值索引'!$A$5:$A$80,J7,'07数值索引'!$G$5:$G$80)+SUMIF('07数值索引'!$A$5:$A$80,K7,'07数值索引'!$G$5:$G$80)+SUMIF('07数值索引'!$A$5:$A$80,L7,'07数值索引'!$G$5:$G$80)+SUMIF('07数值索引'!$A$5:$A$80,M7,'07数值索引'!$G$5:$G$80)+SUMIF('07数值索引'!$A$5:$A$80,N7,'07数值索引'!$G$5:$G$80)</f>
        <v>7</v>
      </c>
      <c r="S7" s="8">
        <f>0+SUMIF('07数值索引'!$A$5:$A$80,C7,'07数值索引'!$H$5:$H$80)+SUMIF('07数值索引'!$A$5:$A$80,D7,'07数值索引'!$H$5:$H$80)+SUMIF('07数值索引'!$A$5:$A$80,E7,'07数值索引'!$H$5:$H$80)+SUMIF('07数值索引'!$A$5:$A$80,F7,'07数值索引'!$H$5:$H$80)+SUMIF('07数值索引'!$A$5:$A$80,G7,'07数值索引'!$H$5:$H$80)+SUMIF('07数值索引'!$A$5:$A$80,H7,'07数值索引'!$H$5:$H$80)+SUMIF('07数值索引'!$A$5:$A$80,I7,'07数值索引'!$H$5:$H$80)+SUMIF('07数值索引'!$A$5:$A$80,J7,'07数值索引'!$H$5:$H$80)+SUMIF('07数值索引'!$A$5:$A$80,K7,'07数值索引'!$H$5:$H$80)+SUMIF('07数值索引'!$A$5:$A$80,L7,'07数值索引'!$H$5:$H$80)+SUMIF('07数值索引'!$A$5:$A$80,M7,'07数值索引'!$H$5:$H$80)+SUMIF('07数值索引'!$A$5:$A$80,N7,'07数值索引'!$H$5:$H$80)</f>
        <v>1</v>
      </c>
      <c r="T7" s="8">
        <f>0+SUMIF('07数值索引'!$A$5:$A$80,C7,'07数值索引'!$I$5:$I$80)+SUMIF('07数值索引'!$A$5:$A$80,D7,'07数值索引'!$I$5:$I$80)+SUMIF('07数值索引'!$A$5:$A$80,E7,'07数值索引'!$I$5:$I$80)+SUMIF('07数值索引'!$A$5:$A$80,F7,'07数值索引'!$I$5:$I$80)+SUMIF('07数值索引'!$A$5:$A$80,G7,'07数值索引'!$I$5:$I$80)+SUMIF('07数值索引'!$A$5:$A$80,H7,'07数值索引'!$I$5:$I$80)+SUMIF('07数值索引'!$A$5:$A$80,I7,'07数值索引'!$I$5:$I$80)+SUMIF('07数值索引'!$A$5:$A$80,J7,'07数值索引'!$I$5:$I$80)+SUMIF('07数值索引'!$A$5:$A$80,K7,'07数值索引'!$I$5:$I$80)+SUMIF('07数值索引'!$A$5:$A$80,L7,'07数值索引'!$I$5:$I$80)+SUMIF('07数值索引'!$A$5:$A$80,M7,'07数值索引'!$I$5:$I$80)+SUMIF('07数值索引'!$A$5:$A$80,N7,'07数值索引'!$I$5:$I$80)</f>
        <v>1</v>
      </c>
      <c r="U7" s="8">
        <f>0+SUMIF('07数值索引'!$A$5:$A$80,C7,'07数值索引'!$J$5:$J$80)+SUMIF('07数值索引'!$A$5:$A$80,D7,'07数值索引'!$J$5:$J$80)+SUMIF('07数值索引'!$A$5:$A$80,E7,'07数值索引'!$J$5:$J$80)+SUMIF('07数值索引'!$A$5:$A$80,F7,'07数值索引'!$J$5:$J$80)+SUMIF('07数值索引'!$A$5:$A$80,G7,'07数值索引'!$J$5:$J$80)+SUMIF('07数值索引'!$A$5:$A$80,H7,'07数值索引'!$J$5:$J$80)+SUMIF('07数值索引'!$A$5:$A$80,I7,'07数值索引'!$J$5:$J$80)+SUMIF('07数值索引'!$A$5:$A$80,J7,'07数值索引'!$J$5:$J$80)+SUMIF('07数值索引'!$A$5:$A$80,K7,'07数值索引'!$J$5:$J$80)+SUMIF('07数值索引'!$A$5:$A$80,L7,'07数值索引'!$J$5:$J$80)+SUMIF('07数值索引'!$A$5:$A$80,M7,'07数值索引'!$J$5:$J$80)+SUMIF('07数值索引'!$A$5:$A$80,N7,'07数值索引'!$J$5:$J$80)</f>
        <v>0</v>
      </c>
      <c r="V7" s="8">
        <f>0+SUMIF('07数值索引'!$A$5:$A$80,C7,'07数值索引'!$K$5:$K$80)+SUMIF('07数值索引'!$A$5:$A$80,D7,'07数值索引'!$K$5:$K$80)+SUMIF('07数值索引'!$A$5:$A$80,E7,'07数值索引'!$K$5:$K$80)+SUMIF('07数值索引'!$A$5:$A$80,F7,'07数值索引'!$K$5:$K$80)+SUMIF('07数值索引'!$A$5:$A$80,G7,'07数值索引'!$K$5:$K$80)+SUMIF('07数值索引'!$A$5:$A$80,H7,'07数值索引'!$K$5:$K$80)+SUMIF('07数值索引'!$A$5:$A$80,I7,'07数值索引'!$K$5:$K$80)+SUMIF('07数值索引'!$A$5:$A$80,J7,'07数值索引'!$K$5:$K$80)+SUMIF('07数值索引'!$A$5:$A$80,K7,'07数值索引'!$K$5:$K$80)+SUMIF('07数值索引'!$A$5:$A$80,L7,'07数值索引'!$K$5:$K$80)+SUMIF('07数值索引'!$A$5:$A$80,M7,'07数值索引'!$K$5:$K$80)+SUMIF('07数值索引'!$A$5:$A$80,N7,'07数值索引'!$K$5:$K$80)</f>
        <v>1</v>
      </c>
      <c r="W7" s="8">
        <f>0+SUMIF('07数值索引'!$A$5:$A$80,C7,'07数值索引'!$L$5:$L$80)+SUMIF('07数值索引'!$A$5:$A$80,D7,'07数值索引'!$L$5:$L$80)+SUMIF('07数值索引'!$A$5:$A$80,E7,'07数值索引'!$L$5:$L$80)+SUMIF('07数值索引'!$A$5:$A$80,F7,'07数值索引'!$L$5:$L$80)+SUMIF('07数值索引'!$A$5:$A$80,G7,'07数值索引'!$L$5:$L$80)+SUMIF('07数值索引'!$A$5:$A$80,H7,'07数值索引'!$L$5:$L$80)+SUMIF('07数值索引'!$A$5:$A$80,I7,'07数值索引'!$L$5:$L$80)+SUMIF('07数值索引'!$A$5:$A$80,J7,'07数值索引'!$L$5:$L$80)+SUMIF('07数值索引'!$A$5:$A$80,K7,'07数值索引'!$L$5:$L$80)+SUMIF('07数值索引'!$A$5:$A$80,L7,'07数值索引'!$L$5:$L$80)+SUMIF('07数值索引'!$A$5:$A$80,M7,'07数值索引'!$L$5:$L$80)+SUMIF('07数值索引'!$A$5:$A$80,N7,'07数值索引'!$L$5:$L$80)</f>
        <v>0</v>
      </c>
      <c r="X7" s="8">
        <f>0+SUMIF('07数值索引'!$A$5:$A$80,C7,'07数值索引'!$M$5:$M$80)+SUMIF('07数值索引'!$A$5:$A$80,D7,'07数值索引'!$M$5:$M$80)+SUMIF('07数值索引'!$A$5:$A$80,E7,'07数值索引'!$M$5:$M$80)+SUMIF('07数值索引'!$A$5:$A$80,F7,'07数值索引'!$M$5:$M$80)+SUMIF('07数值索引'!$A$5:$A$80,G7,'07数值索引'!$M$5:$M$80)+SUMIF('07数值索引'!$A$5:$A$80,H7,'07数值索引'!$M$5:$M$80)+SUMIF('07数值索引'!$A$5:$A$80,I7,'07数值索引'!$M$5:$M$80)+SUMIF('07数值索引'!$A$5:$A$80,J7,'07数值索引'!$M$5:$M$80)+SUMIF('07数值索引'!$A$5:$A$80,K7,'07数值索引'!$M$5:$M$80)+SUMIF('07数值索引'!$A$5:$A$80,L7,'07数值索引'!$M$5:$M$80)+SUMIF('07数值索引'!$A$5:$A$80,M7,'07数值索引'!$M$5:$M$80)+SUMIF('07数值索引'!$A$5:$A$80,N7,'07数值索引'!$M$5:$M$80)</f>
        <v>0</v>
      </c>
      <c r="Y7" s="8">
        <f>0+SUMIF('07数值索引'!$A$5:$A$80,C7,'07数值索引'!$N$5:$N$80)+SUMIF('07数值索引'!$A$5:$A$80,D7,'07数值索引'!$N$5:$N$80)+SUMIF('07数值索引'!$A$5:$A$80,E7,'07数值索引'!$N$5:$N$80)+SUMIF('07数值索引'!$A$5:$A$80,F7,'07数值索引'!$N$5:$N$80)+SUMIF('07数值索引'!$A$5:$A$80,G7,'07数值索引'!$N$5:$N$80)+SUMIF('07数值索引'!$A$5:$A$80,H7,'07数值索引'!$N$5:$N$80)+SUMIF('07数值索引'!$A$5:$A$80,I7,'07数值索引'!$N$5:$N$80)+SUMIF('07数值索引'!$A$5:$A$80,J7,'07数值索引'!$N$5:$N$80)+SUMIF('07数值索引'!$A$5:$A$80,K7,'07数值索引'!$N$5:$N$80)+SUMIF('07数值索引'!$A$5:$A$80,L7,'07数值索引'!$N$5:$N$80)+SUMIF('07数值索引'!$A$5:$A$80,M7,'07数值索引'!$N$5:$N$80)+SUMIF('07数值索引'!$A$5:$A$80,N7,'07数值索引'!$N$5:$N$80)</f>
        <v>0</v>
      </c>
      <c r="Z7" s="8">
        <f>0+SUMIF('07数值索引'!$A$5:$A$80,C7,'07数值索引'!$O$5:$O$80)+SUMIF('07数值索引'!$A$5:$A$80,D7,'07数值索引'!$O$5:$O$80)+SUMIF('07数值索引'!$A$5:$A$80,E7,'07数值索引'!$O$5:$O$80)+SUMIF('07数值索引'!$A$5:$A$80,F7,'07数值索引'!$O$5:$O$80)+SUMIF('07数值索引'!$A$5:$A$80,G7,'07数值索引'!$O$5:$O$80)+SUMIF('07数值索引'!$A$5:$A$80,H7,'07数值索引'!$O$5:$O$80)+SUMIF('07数值索引'!$A$5:$A$80,I7,'07数值索引'!$O$5:$O$80)+SUMIF('07数值索引'!$A$5:$A$80,J7,'07数值索引'!$O$5:$O$80)+SUMIF('07数值索引'!$A$5:$A$80,K7,'07数值索引'!$O$5:$O$80)+SUMIF('07数值索引'!$A$5:$A$80,L7,'07数值索引'!$O$5:$O$80)+SUMIF('07数值索引'!$A$5:$A$80,M7,'07数值索引'!$O$5:$O$80)+SUMIF('07数值索引'!$A$5:$A$80,N7,'07数值索引'!$O$5:$O$80)</f>
        <v>0</v>
      </c>
      <c r="AA7" s="8">
        <f>0+SUMIF('07数值索引'!$A$5:$A$80,C7,'07数值索引'!$P$5:$P$80)+SUMIF('07数值索引'!$A$5:$A$80,D7,'07数值索引'!$P$5:$P$80)+SUMIF('07数值索引'!$A$5:$A$80,E7,'07数值索引'!$P$5:$P$80)+SUMIF('07数值索引'!$A$5:$A$80,F7,'07数值索引'!$P$5:$P$80)+SUMIF('07数值索引'!$A$5:$A$80,G7,'07数值索引'!$P$5:$P$80)+SUMIF('07数值索引'!$A$5:$A$80,H7,'07数值索引'!$P$5:$P$80)+SUMIF('07数值索引'!$A$5:$A$80,I7,'07数值索引'!$P$5:$P$80)+SUMIF('07数值索引'!$A$5:$A$80,J7,'07数值索引'!$P$5:$P$80)+SUMIF('07数值索引'!$A$5:$A$80,K7,'07数值索引'!$P$5:$P$80)+SUMIF('07数值索引'!$A$5:$A$80,L7,'07数值索引'!$P$5:$P$80)+SUMIF('07数值索引'!$A$5:$A$80,M7,'07数值索引'!$P$5:$P$80)+SUMIF('07数值索引'!$A$5:$A$80,N7,'07数值索引'!$P$5:$P$80)</f>
        <v>1</v>
      </c>
      <c r="AB7" s="8">
        <f>0+SUMIF('07数值索引'!$A$5:$A$80,C7,'07数值索引'!$Q$5:$Q$80)+SUMIF('07数值索引'!$A$5:$A$80,D7,'07数值索引'!$Q$5:$Q$80)+SUMIF('07数值索引'!$A$5:$A$80,E7,'07数值索引'!$Q$5:$Q$80)+SUMIF('07数值索引'!$A$5:$A$80,F7,'07数值索引'!$Q$5:$Q$80)+SUMIF('07数值索引'!$A$5:$A$80,G7,'07数值索引'!$Q$5:$Q$80)+SUMIF('07数值索引'!$A$5:$A$80,H7,'07数值索引'!$Q$5:$Q$80)+SUMIF('07数值索引'!$A$5:$A$80,I7,'07数值索引'!$Q$5:$Q$80)+SUMIF('07数值索引'!$A$5:$A$80,J7,'07数值索引'!$Q$5:$Q$80)+SUMIF('07数值索引'!$A$5:$A$80,K7,'07数值索引'!$Q$5:$Q$80)+SUMIF('07数值索引'!$A$5:$A$80,L7,'07数值索引'!$Q$5:$Q$80)+SUMIF('07数值索引'!$A$5:$A$80,M7,'07数值索引'!$Q$5:$Q$80)+SUMIF('07数值索引'!$A$5:$A$80,N7,'07数值索引'!$Q$5:$Q$80)</f>
        <v>0</v>
      </c>
      <c r="AC7" s="8">
        <f>0+SUMIF('07数值索引'!$A$5:$A$80,C7,'07数值索引'!$R$5:$R$80)+SUMIF('07数值索引'!$A$5:$A$80,D7,'07数值索引'!$R$5:$R$80)+SUMIF('07数值索引'!$A$5:$A$80,E7,'07数值索引'!$R$5:$R$80)+SUMIF('07数值索引'!$A$5:$A$80,F7,'07数值索引'!$R$5:$R$80)+SUMIF('07数值索引'!$A$5:$A$80,G7,'07数值索引'!$R$5:$R$80)+SUMIF('07数值索引'!$A$5:$A$80,H7,'07数值索引'!$R$5:$R$80)+SUMIF('07数值索引'!$A$5:$A$80,I7,'07数值索引'!$R$5:$R$80)+SUMIF('07数值索引'!$A$5:$A$80,J7,'07数值索引'!$R$5:$R$80)+SUMIF('07数值索引'!$A$5:$A$80,K7,'07数值索引'!$R$5:$R$80)+SUMIF('07数值索引'!$A$5:$A$80,L7,'07数值索引'!$R$5:$R$80)+SUMIF('07数值索引'!$A$5:$A$80,M7,'07数值索引'!$R$5:$R$80)+SUMIF('07数值索引'!$A$5:$A$80,N7,'07数值索引'!$R$5:$R$80)</f>
        <v>0</v>
      </c>
      <c r="AD7" s="8" t="str">
        <f t="shared" si="0"/>
        <v>《第二位圣女》</v>
      </c>
      <c r="AE7" s="8" t="s">
        <v>543</v>
      </c>
      <c r="AF7" s="8" t="str">
        <f t="shared" si="1"/>
        <v>PASS</v>
      </c>
      <c r="AG7" s="39" t="s">
        <v>674</v>
      </c>
      <c r="AH7" s="8" t="str">
        <f t="shared" si="2"/>
        <v>否</v>
      </c>
      <c r="AI7" s="8" t="str">
        <f>IF(AND(OR(C7="",COUNTIF('07数值索引'!$A$5:$A$80,C7)=1),OR(D7="",COUNTIF('07数值索引'!$A$5:$A$80,D7)=1),OR(E7="",COUNTIF('07数值索引'!$A$5:$A$80,E7)=1),OR(F7="",COUNTIF('07数值索引'!$A$5:$A$80,F7)=1),OR(G7="",COUNTIF('07数值索引'!$A$5:$A$80,G7)=1),OR(H7="",COUNTIF('07数值索引'!$A$5:$A$80,H7)=1),OR(I7="",COUNTIF('07数值索引'!$A$5:$A$80,I7)=1),OR(J7="",COUNTIF('07数值索引'!$A$5:$A$80,J7)=1),OR(K7="",COUNTIF('07数值索引'!$A$5:$A$80,K7)=1),OR(L7="",COUNTIF('07数值索引'!$A$5:$A$80,L7)=1),OR(M7="",COUNTIF('07数值索引'!$A$5:$A$80,M7)=1),OR(N7="",COUNTIF('07数值索引'!$A$5:$A$80,N7)=1)),"PASS","CHECK")</f>
        <v>PASS</v>
      </c>
      <c r="AJ7" s="8" t="str">
        <f>IFERROR(VLOOKUP(A7,'08A前置合法性'!$X$5:$Z$20,3,FALSE),"CHECK")</f>
        <v>PASS</v>
      </c>
      <c r="AK7" s="8" t="str">
        <f t="shared" si="3"/>
        <v>PASS</v>
      </c>
    </row>
    <row r="8" ht="48" customHeight="1" spans="1:37">
      <c r="A8" s="33" t="s">
        <v>675</v>
      </c>
      <c r="B8" s="34" t="s">
        <v>676</v>
      </c>
      <c r="C8" s="34" t="s">
        <v>582</v>
      </c>
      <c r="D8" s="34" t="s">
        <v>150</v>
      </c>
      <c r="E8" s="34" t="s">
        <v>165</v>
      </c>
      <c r="F8" s="34" t="s">
        <v>284</v>
      </c>
      <c r="G8" s="34" t="s">
        <v>179</v>
      </c>
      <c r="H8" s="34" t="s">
        <v>201</v>
      </c>
      <c r="I8" s="34" t="s">
        <v>454</v>
      </c>
      <c r="J8" s="34" t="s">
        <v>467</v>
      </c>
      <c r="K8" s="34" t="s">
        <v>476</v>
      </c>
      <c r="L8" s="34" t="s">
        <v>487</v>
      </c>
      <c r="M8" s="34" t="s">
        <v>586</v>
      </c>
      <c r="N8" s="34" t="s">
        <v>222</v>
      </c>
      <c r="O8" s="35">
        <f>0+SUMIF('07数值索引'!$A$5:$A$80,C8,'07数值索引'!$D$5:$D$80)+SUMIF('07数值索引'!$A$5:$A$80,D8,'07数值索引'!$D$5:$D$80)+SUMIF('07数值索引'!$A$5:$A$80,E8,'07数值索引'!$D$5:$D$80)+SUMIF('07数值索引'!$A$5:$A$80,F8,'07数值索引'!$D$5:$D$80)+SUMIF('07数值索引'!$A$5:$A$80,G8,'07数值索引'!$D$5:$D$80)+SUMIF('07数值索引'!$A$5:$A$80,H8,'07数值索引'!$D$5:$D$80)+SUMIF('07数值索引'!$A$5:$A$80,I8,'07数值索引'!$D$5:$D$80)+SUMIF('07数值索引'!$A$5:$A$80,J8,'07数值索引'!$D$5:$D$80)+SUMIF('07数值索引'!$A$5:$A$80,K8,'07数值索引'!$D$5:$D$80)+SUMIF('07数值索引'!$A$5:$A$80,L8,'07数值索引'!$D$5:$D$80)+SUMIF('07数值索引'!$A$5:$A$80,M8,'07数值索引'!$D$5:$D$80)+SUMIF('07数值索引'!$A$5:$A$80,N8,'07数值索引'!$D$5:$D$80)</f>
        <v>-9</v>
      </c>
      <c r="P8" s="35">
        <f>0+SUMIF('07数值索引'!$A$5:$A$80,C8,'07数值索引'!$E$5:$E$80)+SUMIF('07数值索引'!$A$5:$A$80,D8,'07数值索引'!$E$5:$E$80)+SUMIF('07数值索引'!$A$5:$A$80,E8,'07数值索引'!$E$5:$E$80)+SUMIF('07数值索引'!$A$5:$A$80,F8,'07数值索引'!$E$5:$E$80)+SUMIF('07数值索引'!$A$5:$A$80,G8,'07数值索引'!$E$5:$E$80)+SUMIF('07数值索引'!$A$5:$A$80,H8,'07数值索引'!$E$5:$E$80)+SUMIF('07数值索引'!$A$5:$A$80,I8,'07数值索引'!$E$5:$E$80)+SUMIF('07数值索引'!$A$5:$A$80,J8,'07数值索引'!$E$5:$E$80)+SUMIF('07数值索引'!$A$5:$A$80,K8,'07数值索引'!$E$5:$E$80)+SUMIF('07数值索引'!$A$5:$A$80,L8,'07数值索引'!$E$5:$E$80)+SUMIF('07数值索引'!$A$5:$A$80,M8,'07数值索引'!$E$5:$E$80)+SUMIF('07数值索引'!$A$5:$A$80,N8,'07数值索引'!$E$5:$E$80)</f>
        <v>1</v>
      </c>
      <c r="Q8" s="35">
        <f>0+SUMIF('07数值索引'!$A$5:$A$80,C8,'07数值索引'!$F$5:$F$80)+SUMIF('07数值索引'!$A$5:$A$80,D8,'07数值索引'!$F$5:$F$80)+SUMIF('07数值索引'!$A$5:$A$80,E8,'07数值索引'!$F$5:$F$80)+SUMIF('07数值索引'!$A$5:$A$80,F8,'07数值索引'!$F$5:$F$80)+SUMIF('07数值索引'!$A$5:$A$80,G8,'07数值索引'!$F$5:$F$80)+SUMIF('07数值索引'!$A$5:$A$80,H8,'07数值索引'!$F$5:$F$80)+SUMIF('07数值索引'!$A$5:$A$80,I8,'07数值索引'!$F$5:$F$80)+SUMIF('07数值索引'!$A$5:$A$80,J8,'07数值索引'!$F$5:$F$80)+SUMIF('07数值索引'!$A$5:$A$80,K8,'07数值索引'!$F$5:$F$80)+SUMIF('07数值索引'!$A$5:$A$80,L8,'07数值索引'!$F$5:$F$80)+SUMIF('07数值索引'!$A$5:$A$80,M8,'07数值索引'!$F$5:$F$80)+SUMIF('07数值索引'!$A$5:$A$80,N8,'07数值索引'!$F$5:$F$80)</f>
        <v>-7</v>
      </c>
      <c r="R8" s="35">
        <f>0+SUMIF('07数值索引'!$A$5:$A$80,C8,'07数值索引'!$G$5:$G$80)+SUMIF('07数值索引'!$A$5:$A$80,D8,'07数值索引'!$G$5:$G$80)+SUMIF('07数值索引'!$A$5:$A$80,E8,'07数值索引'!$G$5:$G$80)+SUMIF('07数值索引'!$A$5:$A$80,F8,'07数值索引'!$G$5:$G$80)+SUMIF('07数值索引'!$A$5:$A$80,G8,'07数值索引'!$G$5:$G$80)+SUMIF('07数值索引'!$A$5:$A$80,H8,'07数值索引'!$G$5:$G$80)+SUMIF('07数值索引'!$A$5:$A$80,I8,'07数值索引'!$G$5:$G$80)+SUMIF('07数值索引'!$A$5:$A$80,J8,'07数值索引'!$G$5:$G$80)+SUMIF('07数值索引'!$A$5:$A$80,K8,'07数值索引'!$G$5:$G$80)+SUMIF('07数值索引'!$A$5:$A$80,L8,'07数值索引'!$G$5:$G$80)+SUMIF('07数值索引'!$A$5:$A$80,M8,'07数值索引'!$G$5:$G$80)+SUMIF('07数值索引'!$A$5:$A$80,N8,'07数值索引'!$G$5:$G$80)</f>
        <v>3</v>
      </c>
      <c r="S8" s="34">
        <f>0+SUMIF('07数值索引'!$A$5:$A$80,C8,'07数值索引'!$H$5:$H$80)+SUMIF('07数值索引'!$A$5:$A$80,D8,'07数值索引'!$H$5:$H$80)+SUMIF('07数值索引'!$A$5:$A$80,E8,'07数值索引'!$H$5:$H$80)+SUMIF('07数值索引'!$A$5:$A$80,F8,'07数值索引'!$H$5:$H$80)+SUMIF('07数值索引'!$A$5:$A$80,G8,'07数值索引'!$H$5:$H$80)+SUMIF('07数值索引'!$A$5:$A$80,H8,'07数值索引'!$H$5:$H$80)+SUMIF('07数值索引'!$A$5:$A$80,I8,'07数值索引'!$H$5:$H$80)+SUMIF('07数值索引'!$A$5:$A$80,J8,'07数值索引'!$H$5:$H$80)+SUMIF('07数值索引'!$A$5:$A$80,K8,'07数值索引'!$H$5:$H$80)+SUMIF('07数值索引'!$A$5:$A$80,L8,'07数值索引'!$H$5:$H$80)+SUMIF('07数值索引'!$A$5:$A$80,M8,'07数值索引'!$H$5:$H$80)+SUMIF('07数值索引'!$A$5:$A$80,N8,'07数值索引'!$H$5:$H$80)</f>
        <v>0</v>
      </c>
      <c r="T8" s="34">
        <f>0+SUMIF('07数值索引'!$A$5:$A$80,C8,'07数值索引'!$I$5:$I$80)+SUMIF('07数值索引'!$A$5:$A$80,D8,'07数值索引'!$I$5:$I$80)+SUMIF('07数值索引'!$A$5:$A$80,E8,'07数值索引'!$I$5:$I$80)+SUMIF('07数值索引'!$A$5:$A$80,F8,'07数值索引'!$I$5:$I$80)+SUMIF('07数值索引'!$A$5:$A$80,G8,'07数值索引'!$I$5:$I$80)+SUMIF('07数值索引'!$A$5:$A$80,H8,'07数值索引'!$I$5:$I$80)+SUMIF('07数值索引'!$A$5:$A$80,I8,'07数值索引'!$I$5:$I$80)+SUMIF('07数值索引'!$A$5:$A$80,J8,'07数值索引'!$I$5:$I$80)+SUMIF('07数值索引'!$A$5:$A$80,K8,'07数值索引'!$I$5:$I$80)+SUMIF('07数值索引'!$A$5:$A$80,L8,'07数值索引'!$I$5:$I$80)+SUMIF('07数值索引'!$A$5:$A$80,M8,'07数值索引'!$I$5:$I$80)+SUMIF('07数值索引'!$A$5:$A$80,N8,'07数值索引'!$I$5:$I$80)</f>
        <v>2</v>
      </c>
      <c r="U8" s="34">
        <f>0+SUMIF('07数值索引'!$A$5:$A$80,C8,'07数值索引'!$J$5:$J$80)+SUMIF('07数值索引'!$A$5:$A$80,D8,'07数值索引'!$J$5:$J$80)+SUMIF('07数值索引'!$A$5:$A$80,E8,'07数值索引'!$J$5:$J$80)+SUMIF('07数值索引'!$A$5:$A$80,F8,'07数值索引'!$J$5:$J$80)+SUMIF('07数值索引'!$A$5:$A$80,G8,'07数值索引'!$J$5:$J$80)+SUMIF('07数值索引'!$A$5:$A$80,H8,'07数值索引'!$J$5:$J$80)+SUMIF('07数值索引'!$A$5:$A$80,I8,'07数值索引'!$J$5:$J$80)+SUMIF('07数值索引'!$A$5:$A$80,J8,'07数值索引'!$J$5:$J$80)+SUMIF('07数值索引'!$A$5:$A$80,K8,'07数值索引'!$J$5:$J$80)+SUMIF('07数值索引'!$A$5:$A$80,L8,'07数值索引'!$J$5:$J$80)+SUMIF('07数值索引'!$A$5:$A$80,M8,'07数值索引'!$J$5:$J$80)+SUMIF('07数值索引'!$A$5:$A$80,N8,'07数值索引'!$J$5:$J$80)</f>
        <v>1</v>
      </c>
      <c r="V8" s="34">
        <f>0+SUMIF('07数值索引'!$A$5:$A$80,C8,'07数值索引'!$K$5:$K$80)+SUMIF('07数值索引'!$A$5:$A$80,D8,'07数值索引'!$K$5:$K$80)+SUMIF('07数值索引'!$A$5:$A$80,E8,'07数值索引'!$K$5:$K$80)+SUMIF('07数值索引'!$A$5:$A$80,F8,'07数值索引'!$K$5:$K$80)+SUMIF('07数值索引'!$A$5:$A$80,G8,'07数值索引'!$K$5:$K$80)+SUMIF('07数值索引'!$A$5:$A$80,H8,'07数值索引'!$K$5:$K$80)+SUMIF('07数值索引'!$A$5:$A$80,I8,'07数值索引'!$K$5:$K$80)+SUMIF('07数值索引'!$A$5:$A$80,J8,'07数值索引'!$K$5:$K$80)+SUMIF('07数值索引'!$A$5:$A$80,K8,'07数值索引'!$K$5:$K$80)+SUMIF('07数值索引'!$A$5:$A$80,L8,'07数值索引'!$K$5:$K$80)+SUMIF('07数值索引'!$A$5:$A$80,M8,'07数值索引'!$K$5:$K$80)+SUMIF('07数值索引'!$A$5:$A$80,N8,'07数值索引'!$K$5:$K$80)</f>
        <v>0</v>
      </c>
      <c r="W8" s="34">
        <f>0+SUMIF('07数值索引'!$A$5:$A$80,C8,'07数值索引'!$L$5:$L$80)+SUMIF('07数值索引'!$A$5:$A$80,D8,'07数值索引'!$L$5:$L$80)+SUMIF('07数值索引'!$A$5:$A$80,E8,'07数值索引'!$L$5:$L$80)+SUMIF('07数值索引'!$A$5:$A$80,F8,'07数值索引'!$L$5:$L$80)+SUMIF('07数值索引'!$A$5:$A$80,G8,'07数值索引'!$L$5:$L$80)+SUMIF('07数值索引'!$A$5:$A$80,H8,'07数值索引'!$L$5:$L$80)+SUMIF('07数值索引'!$A$5:$A$80,I8,'07数值索引'!$L$5:$L$80)+SUMIF('07数值索引'!$A$5:$A$80,J8,'07数值索引'!$L$5:$L$80)+SUMIF('07数值索引'!$A$5:$A$80,K8,'07数值索引'!$L$5:$L$80)+SUMIF('07数值索引'!$A$5:$A$80,L8,'07数值索引'!$L$5:$L$80)+SUMIF('07数值索引'!$A$5:$A$80,M8,'07数值索引'!$L$5:$L$80)+SUMIF('07数值索引'!$A$5:$A$80,N8,'07数值索引'!$L$5:$L$80)</f>
        <v>0</v>
      </c>
      <c r="X8" s="34">
        <f>0+SUMIF('07数值索引'!$A$5:$A$80,C8,'07数值索引'!$M$5:$M$80)+SUMIF('07数值索引'!$A$5:$A$80,D8,'07数值索引'!$M$5:$M$80)+SUMIF('07数值索引'!$A$5:$A$80,E8,'07数值索引'!$M$5:$M$80)+SUMIF('07数值索引'!$A$5:$A$80,F8,'07数值索引'!$M$5:$M$80)+SUMIF('07数值索引'!$A$5:$A$80,G8,'07数值索引'!$M$5:$M$80)+SUMIF('07数值索引'!$A$5:$A$80,H8,'07数值索引'!$M$5:$M$80)+SUMIF('07数值索引'!$A$5:$A$80,I8,'07数值索引'!$M$5:$M$80)+SUMIF('07数值索引'!$A$5:$A$80,J8,'07数值索引'!$M$5:$M$80)+SUMIF('07数值索引'!$A$5:$A$80,K8,'07数值索引'!$M$5:$M$80)+SUMIF('07数值索引'!$A$5:$A$80,L8,'07数值索引'!$M$5:$M$80)+SUMIF('07数值索引'!$A$5:$A$80,M8,'07数值索引'!$M$5:$M$80)+SUMIF('07数值索引'!$A$5:$A$80,N8,'07数值索引'!$M$5:$M$80)</f>
        <v>1</v>
      </c>
      <c r="Y8" s="34">
        <f>0+SUMIF('07数值索引'!$A$5:$A$80,C8,'07数值索引'!$N$5:$N$80)+SUMIF('07数值索引'!$A$5:$A$80,D8,'07数值索引'!$N$5:$N$80)+SUMIF('07数值索引'!$A$5:$A$80,E8,'07数值索引'!$N$5:$N$80)+SUMIF('07数值索引'!$A$5:$A$80,F8,'07数值索引'!$N$5:$N$80)+SUMIF('07数值索引'!$A$5:$A$80,G8,'07数值索引'!$N$5:$N$80)+SUMIF('07数值索引'!$A$5:$A$80,H8,'07数值索引'!$N$5:$N$80)+SUMIF('07数值索引'!$A$5:$A$80,I8,'07数值索引'!$N$5:$N$80)+SUMIF('07数值索引'!$A$5:$A$80,J8,'07数值索引'!$N$5:$N$80)+SUMIF('07数值索引'!$A$5:$A$80,K8,'07数值索引'!$N$5:$N$80)+SUMIF('07数值索引'!$A$5:$A$80,L8,'07数值索引'!$N$5:$N$80)+SUMIF('07数值索引'!$A$5:$A$80,M8,'07数值索引'!$N$5:$N$80)+SUMIF('07数值索引'!$A$5:$A$80,N8,'07数值索引'!$N$5:$N$80)</f>
        <v>0</v>
      </c>
      <c r="Z8" s="34">
        <f>0+SUMIF('07数值索引'!$A$5:$A$80,C8,'07数值索引'!$O$5:$O$80)+SUMIF('07数值索引'!$A$5:$A$80,D8,'07数值索引'!$O$5:$O$80)+SUMIF('07数值索引'!$A$5:$A$80,E8,'07数值索引'!$O$5:$O$80)+SUMIF('07数值索引'!$A$5:$A$80,F8,'07数值索引'!$O$5:$O$80)+SUMIF('07数值索引'!$A$5:$A$80,G8,'07数值索引'!$O$5:$O$80)+SUMIF('07数值索引'!$A$5:$A$80,H8,'07数值索引'!$O$5:$O$80)+SUMIF('07数值索引'!$A$5:$A$80,I8,'07数值索引'!$O$5:$O$80)+SUMIF('07数值索引'!$A$5:$A$80,J8,'07数值索引'!$O$5:$O$80)+SUMIF('07数值索引'!$A$5:$A$80,K8,'07数值索引'!$O$5:$O$80)+SUMIF('07数值索引'!$A$5:$A$80,L8,'07数值索引'!$O$5:$O$80)+SUMIF('07数值索引'!$A$5:$A$80,M8,'07数值索引'!$O$5:$O$80)+SUMIF('07数值索引'!$A$5:$A$80,N8,'07数值索引'!$O$5:$O$80)</f>
        <v>0</v>
      </c>
      <c r="AA8" s="34">
        <f>0+SUMIF('07数值索引'!$A$5:$A$80,C8,'07数值索引'!$P$5:$P$80)+SUMIF('07数值索引'!$A$5:$A$80,D8,'07数值索引'!$P$5:$P$80)+SUMIF('07数值索引'!$A$5:$A$80,E8,'07数值索引'!$P$5:$P$80)+SUMIF('07数值索引'!$A$5:$A$80,F8,'07数值索引'!$P$5:$P$80)+SUMIF('07数值索引'!$A$5:$A$80,G8,'07数值索引'!$P$5:$P$80)+SUMIF('07数值索引'!$A$5:$A$80,H8,'07数值索引'!$P$5:$P$80)+SUMIF('07数值索引'!$A$5:$A$80,I8,'07数值索引'!$P$5:$P$80)+SUMIF('07数值索引'!$A$5:$A$80,J8,'07数值索引'!$P$5:$P$80)+SUMIF('07数值索引'!$A$5:$A$80,K8,'07数值索引'!$P$5:$P$80)+SUMIF('07数值索引'!$A$5:$A$80,L8,'07数值索引'!$P$5:$P$80)+SUMIF('07数值索引'!$A$5:$A$80,M8,'07数值索引'!$P$5:$P$80)+SUMIF('07数值索引'!$A$5:$A$80,N8,'07数值索引'!$P$5:$P$80)</f>
        <v>0</v>
      </c>
      <c r="AB8" s="34">
        <f>0+SUMIF('07数值索引'!$A$5:$A$80,C8,'07数值索引'!$Q$5:$Q$80)+SUMIF('07数值索引'!$A$5:$A$80,D8,'07数值索引'!$Q$5:$Q$80)+SUMIF('07数值索引'!$A$5:$A$80,E8,'07数值索引'!$Q$5:$Q$80)+SUMIF('07数值索引'!$A$5:$A$80,F8,'07数值索引'!$Q$5:$Q$80)+SUMIF('07数值索引'!$A$5:$A$80,G8,'07数值索引'!$Q$5:$Q$80)+SUMIF('07数值索引'!$A$5:$A$80,H8,'07数值索引'!$Q$5:$Q$80)+SUMIF('07数值索引'!$A$5:$A$80,I8,'07数值索引'!$Q$5:$Q$80)+SUMIF('07数值索引'!$A$5:$A$80,J8,'07数值索引'!$Q$5:$Q$80)+SUMIF('07数值索引'!$A$5:$A$80,K8,'07数值索引'!$Q$5:$Q$80)+SUMIF('07数值索引'!$A$5:$A$80,L8,'07数值索引'!$Q$5:$Q$80)+SUMIF('07数值索引'!$A$5:$A$80,M8,'07数值索引'!$Q$5:$Q$80)+SUMIF('07数值索引'!$A$5:$A$80,N8,'07数值索引'!$Q$5:$Q$80)</f>
        <v>1</v>
      </c>
      <c r="AC8" s="34">
        <f>0+SUMIF('07数值索引'!$A$5:$A$80,C8,'07数值索引'!$R$5:$R$80)+SUMIF('07数值索引'!$A$5:$A$80,D8,'07数值索引'!$R$5:$R$80)+SUMIF('07数值索引'!$A$5:$A$80,E8,'07数值索引'!$R$5:$R$80)+SUMIF('07数值索引'!$A$5:$A$80,F8,'07数值索引'!$R$5:$R$80)+SUMIF('07数值索引'!$A$5:$A$80,G8,'07数值索引'!$R$5:$R$80)+SUMIF('07数值索引'!$A$5:$A$80,H8,'07数值索引'!$R$5:$R$80)+SUMIF('07数值索引'!$A$5:$A$80,I8,'07数值索引'!$R$5:$R$80)+SUMIF('07数值索引'!$A$5:$A$80,J8,'07数值索引'!$R$5:$R$80)+SUMIF('07数值索引'!$A$5:$A$80,K8,'07数值索引'!$R$5:$R$80)+SUMIF('07数值索引'!$A$5:$A$80,L8,'07数值索引'!$R$5:$R$80)+SUMIF('07数值索引'!$A$5:$A$80,M8,'07数值索引'!$R$5:$R$80)+SUMIF('07数值索引'!$A$5:$A$80,N8,'07数值索引'!$R$5:$R$80)</f>
        <v>0</v>
      </c>
      <c r="AD8" s="34" t="str">
        <f t="shared" si="0"/>
        <v>《逃避》</v>
      </c>
      <c r="AE8" s="34" t="s">
        <v>555</v>
      </c>
      <c r="AF8" s="34" t="str">
        <f t="shared" si="1"/>
        <v>PASS</v>
      </c>
      <c r="AG8" s="36" t="s">
        <v>677</v>
      </c>
      <c r="AH8" s="8" t="str">
        <f t="shared" si="2"/>
        <v>是</v>
      </c>
      <c r="AI8" s="8" t="str">
        <f>IF(AND(OR(C8="",COUNTIF('07数值索引'!$A$5:$A$80,C8)=1),OR(D8="",COUNTIF('07数值索引'!$A$5:$A$80,D8)=1),OR(E8="",COUNTIF('07数值索引'!$A$5:$A$80,E8)=1),OR(F8="",COUNTIF('07数值索引'!$A$5:$A$80,F8)=1),OR(G8="",COUNTIF('07数值索引'!$A$5:$A$80,G8)=1),OR(H8="",COUNTIF('07数值索引'!$A$5:$A$80,H8)=1),OR(I8="",COUNTIF('07数值索引'!$A$5:$A$80,I8)=1),OR(J8="",COUNTIF('07数值索引'!$A$5:$A$80,J8)=1),OR(K8="",COUNTIF('07数值索引'!$A$5:$A$80,K8)=1),OR(L8="",COUNTIF('07数值索引'!$A$5:$A$80,L8)=1),OR(M8="",COUNTIF('07数值索引'!$A$5:$A$80,M8)=1),OR(N8="",COUNTIF('07数值索引'!$A$5:$A$80,N8)=1)),"PASS","CHECK")</f>
        <v>PASS</v>
      </c>
      <c r="AJ8" s="8" t="str">
        <f>IFERROR(VLOOKUP(A8,'08A前置合法性'!$X$5:$Z$20,3,FALSE),"CHECK")</f>
        <v>PASS</v>
      </c>
      <c r="AK8" s="8" t="str">
        <f t="shared" si="3"/>
        <v>PASS</v>
      </c>
    </row>
    <row r="9" ht="48" customHeight="1" spans="1:37">
      <c r="A9" s="37" t="s">
        <v>678</v>
      </c>
      <c r="B9" s="8" t="s">
        <v>679</v>
      </c>
      <c r="C9" s="8" t="s">
        <v>582</v>
      </c>
      <c r="D9" s="8" t="s">
        <v>150</v>
      </c>
      <c r="E9" s="8" t="s">
        <v>169</v>
      </c>
      <c r="F9" s="8" t="s">
        <v>276</v>
      </c>
      <c r="G9" s="8" t="s">
        <v>173</v>
      </c>
      <c r="H9" s="8" t="s">
        <v>201</v>
      </c>
      <c r="I9" s="8" t="s">
        <v>454</v>
      </c>
      <c r="J9" s="8" t="s">
        <v>467</v>
      </c>
      <c r="K9" s="8" t="s">
        <v>476</v>
      </c>
      <c r="L9" s="8" t="s">
        <v>487</v>
      </c>
      <c r="M9" s="8" t="s">
        <v>586</v>
      </c>
      <c r="N9" s="8" t="s">
        <v>226</v>
      </c>
      <c r="O9" s="38">
        <f>0+SUMIF('07数值索引'!$A$5:$A$80,C9,'07数值索引'!$D$5:$D$80)+SUMIF('07数值索引'!$A$5:$A$80,D9,'07数值索引'!$D$5:$D$80)+SUMIF('07数值索引'!$A$5:$A$80,E9,'07数值索引'!$D$5:$D$80)+SUMIF('07数值索引'!$A$5:$A$80,F9,'07数值索引'!$D$5:$D$80)+SUMIF('07数值索引'!$A$5:$A$80,G9,'07数值索引'!$D$5:$D$80)+SUMIF('07数值索引'!$A$5:$A$80,H9,'07数值索引'!$D$5:$D$80)+SUMIF('07数值索引'!$A$5:$A$80,I9,'07数值索引'!$D$5:$D$80)+SUMIF('07数值索引'!$A$5:$A$80,J9,'07数值索引'!$D$5:$D$80)+SUMIF('07数值索引'!$A$5:$A$80,K9,'07数值索引'!$D$5:$D$80)+SUMIF('07数值索引'!$A$5:$A$80,L9,'07数值索引'!$D$5:$D$80)+SUMIF('07数值索引'!$A$5:$A$80,M9,'07数值索引'!$D$5:$D$80)+SUMIF('07数值索引'!$A$5:$A$80,N9,'07数值索引'!$D$5:$D$80)</f>
        <v>-12</v>
      </c>
      <c r="P9" s="38">
        <f>0+SUMIF('07数值索引'!$A$5:$A$80,C9,'07数值索引'!$E$5:$E$80)+SUMIF('07数值索引'!$A$5:$A$80,D9,'07数值索引'!$E$5:$E$80)+SUMIF('07数值索引'!$A$5:$A$80,E9,'07数值索引'!$E$5:$E$80)+SUMIF('07数值索引'!$A$5:$A$80,F9,'07数值索引'!$E$5:$E$80)+SUMIF('07数值索引'!$A$5:$A$80,G9,'07数值索引'!$E$5:$E$80)+SUMIF('07数值索引'!$A$5:$A$80,H9,'07数值索引'!$E$5:$E$80)+SUMIF('07数值索引'!$A$5:$A$80,I9,'07数值索引'!$E$5:$E$80)+SUMIF('07数值索引'!$A$5:$A$80,J9,'07数值索引'!$E$5:$E$80)+SUMIF('07数值索引'!$A$5:$A$80,K9,'07数值索引'!$E$5:$E$80)+SUMIF('07数值索引'!$A$5:$A$80,L9,'07数值索引'!$E$5:$E$80)+SUMIF('07数值索引'!$A$5:$A$80,M9,'07数值索引'!$E$5:$E$80)+SUMIF('07数值索引'!$A$5:$A$80,N9,'07数值索引'!$E$5:$E$80)</f>
        <v>4</v>
      </c>
      <c r="Q9" s="38">
        <f>0+SUMIF('07数值索引'!$A$5:$A$80,C9,'07数值索引'!$F$5:$F$80)+SUMIF('07数值索引'!$A$5:$A$80,D9,'07数值索引'!$F$5:$F$80)+SUMIF('07数值索引'!$A$5:$A$80,E9,'07数值索引'!$F$5:$F$80)+SUMIF('07数值索引'!$A$5:$A$80,F9,'07数值索引'!$F$5:$F$80)+SUMIF('07数值索引'!$A$5:$A$80,G9,'07数值索引'!$F$5:$F$80)+SUMIF('07数值索引'!$A$5:$A$80,H9,'07数值索引'!$F$5:$F$80)+SUMIF('07数值索引'!$A$5:$A$80,I9,'07数值索引'!$F$5:$F$80)+SUMIF('07数值索引'!$A$5:$A$80,J9,'07数值索引'!$F$5:$F$80)+SUMIF('07数值索引'!$A$5:$A$80,K9,'07数值索引'!$F$5:$F$80)+SUMIF('07数值索引'!$A$5:$A$80,L9,'07数值索引'!$F$5:$F$80)+SUMIF('07数值索引'!$A$5:$A$80,M9,'07数值索引'!$F$5:$F$80)+SUMIF('07数值索引'!$A$5:$A$80,N9,'07数值索引'!$F$5:$F$80)</f>
        <v>-11</v>
      </c>
      <c r="R9" s="38">
        <f>0+SUMIF('07数值索引'!$A$5:$A$80,C9,'07数值索引'!$G$5:$G$80)+SUMIF('07数值索引'!$A$5:$A$80,D9,'07数值索引'!$G$5:$G$80)+SUMIF('07数值索引'!$A$5:$A$80,E9,'07数值索引'!$G$5:$G$80)+SUMIF('07数值索引'!$A$5:$A$80,F9,'07数值索引'!$G$5:$G$80)+SUMIF('07数值索引'!$A$5:$A$80,G9,'07数值索引'!$G$5:$G$80)+SUMIF('07数值索引'!$A$5:$A$80,H9,'07数值索引'!$G$5:$G$80)+SUMIF('07数值索引'!$A$5:$A$80,I9,'07数值索引'!$G$5:$G$80)+SUMIF('07数值索引'!$A$5:$A$80,J9,'07数值索引'!$G$5:$G$80)+SUMIF('07数值索引'!$A$5:$A$80,K9,'07数值索引'!$G$5:$G$80)+SUMIF('07数值索引'!$A$5:$A$80,L9,'07数值索引'!$G$5:$G$80)+SUMIF('07数值索引'!$A$5:$A$80,M9,'07数值索引'!$G$5:$G$80)+SUMIF('07数值索引'!$A$5:$A$80,N9,'07数值索引'!$G$5:$G$80)</f>
        <v>6</v>
      </c>
      <c r="S9" s="8">
        <f>0+SUMIF('07数值索引'!$A$5:$A$80,C9,'07数值索引'!$H$5:$H$80)+SUMIF('07数值索引'!$A$5:$A$80,D9,'07数值索引'!$H$5:$H$80)+SUMIF('07数值索引'!$A$5:$A$80,E9,'07数值索引'!$H$5:$H$80)+SUMIF('07数值索引'!$A$5:$A$80,F9,'07数值索引'!$H$5:$H$80)+SUMIF('07数值索引'!$A$5:$A$80,G9,'07数值索引'!$H$5:$H$80)+SUMIF('07数值索引'!$A$5:$A$80,H9,'07数值索引'!$H$5:$H$80)+SUMIF('07数值索引'!$A$5:$A$80,I9,'07数值索引'!$H$5:$H$80)+SUMIF('07数值索引'!$A$5:$A$80,J9,'07数值索引'!$H$5:$H$80)+SUMIF('07数值索引'!$A$5:$A$80,K9,'07数值索引'!$H$5:$H$80)+SUMIF('07数值索引'!$A$5:$A$80,L9,'07数值索引'!$H$5:$H$80)+SUMIF('07数值索引'!$A$5:$A$80,M9,'07数值索引'!$H$5:$H$80)+SUMIF('07数值索引'!$A$5:$A$80,N9,'07数值索引'!$H$5:$H$80)</f>
        <v>0</v>
      </c>
      <c r="T9" s="8">
        <f>0+SUMIF('07数值索引'!$A$5:$A$80,C9,'07数值索引'!$I$5:$I$80)+SUMIF('07数值索引'!$A$5:$A$80,D9,'07数值索引'!$I$5:$I$80)+SUMIF('07数值索引'!$A$5:$A$80,E9,'07数值索引'!$I$5:$I$80)+SUMIF('07数值索引'!$A$5:$A$80,F9,'07数值索引'!$I$5:$I$80)+SUMIF('07数值索引'!$A$5:$A$80,G9,'07数值索引'!$I$5:$I$80)+SUMIF('07数值索引'!$A$5:$A$80,H9,'07数值索引'!$I$5:$I$80)+SUMIF('07数值索引'!$A$5:$A$80,I9,'07数值索引'!$I$5:$I$80)+SUMIF('07数值索引'!$A$5:$A$80,J9,'07数值索引'!$I$5:$I$80)+SUMIF('07数值索引'!$A$5:$A$80,K9,'07数值索引'!$I$5:$I$80)+SUMIF('07数值索引'!$A$5:$A$80,L9,'07数值索引'!$I$5:$I$80)+SUMIF('07数值索引'!$A$5:$A$80,M9,'07数值索引'!$I$5:$I$80)+SUMIF('07数值索引'!$A$5:$A$80,N9,'07数值索引'!$I$5:$I$80)</f>
        <v>2</v>
      </c>
      <c r="U9" s="8">
        <f>0+SUMIF('07数值索引'!$A$5:$A$80,C9,'07数值索引'!$J$5:$J$80)+SUMIF('07数值索引'!$A$5:$A$80,D9,'07数值索引'!$J$5:$J$80)+SUMIF('07数值索引'!$A$5:$A$80,E9,'07数值索引'!$J$5:$J$80)+SUMIF('07数值索引'!$A$5:$A$80,F9,'07数值索引'!$J$5:$J$80)+SUMIF('07数值索引'!$A$5:$A$80,G9,'07数值索引'!$J$5:$J$80)+SUMIF('07数值索引'!$A$5:$A$80,H9,'07数值索引'!$J$5:$J$80)+SUMIF('07数值索引'!$A$5:$A$80,I9,'07数值索引'!$J$5:$J$80)+SUMIF('07数值索引'!$A$5:$A$80,J9,'07数值索引'!$J$5:$J$80)+SUMIF('07数值索引'!$A$5:$A$80,K9,'07数值索引'!$J$5:$J$80)+SUMIF('07数值索引'!$A$5:$A$80,L9,'07数值索引'!$J$5:$J$80)+SUMIF('07数值索引'!$A$5:$A$80,M9,'07数值索引'!$J$5:$J$80)+SUMIF('07数值索引'!$A$5:$A$80,N9,'07数值索引'!$J$5:$J$80)</f>
        <v>1</v>
      </c>
      <c r="V9" s="8">
        <f>0+SUMIF('07数值索引'!$A$5:$A$80,C9,'07数值索引'!$K$5:$K$80)+SUMIF('07数值索引'!$A$5:$A$80,D9,'07数值索引'!$K$5:$K$80)+SUMIF('07数值索引'!$A$5:$A$80,E9,'07数值索引'!$K$5:$K$80)+SUMIF('07数值索引'!$A$5:$A$80,F9,'07数值索引'!$K$5:$K$80)+SUMIF('07数值索引'!$A$5:$A$80,G9,'07数值索引'!$K$5:$K$80)+SUMIF('07数值索引'!$A$5:$A$80,H9,'07数值索引'!$K$5:$K$80)+SUMIF('07数值索引'!$A$5:$A$80,I9,'07数值索引'!$K$5:$K$80)+SUMIF('07数值索引'!$A$5:$A$80,J9,'07数值索引'!$K$5:$K$80)+SUMIF('07数值索引'!$A$5:$A$80,K9,'07数值索引'!$K$5:$K$80)+SUMIF('07数值索引'!$A$5:$A$80,L9,'07数值索引'!$K$5:$K$80)+SUMIF('07数值索引'!$A$5:$A$80,M9,'07数值索引'!$K$5:$K$80)+SUMIF('07数值索引'!$A$5:$A$80,N9,'07数值索引'!$K$5:$K$80)</f>
        <v>0</v>
      </c>
      <c r="W9" s="8">
        <f>0+SUMIF('07数值索引'!$A$5:$A$80,C9,'07数值索引'!$L$5:$L$80)+SUMIF('07数值索引'!$A$5:$A$80,D9,'07数值索引'!$L$5:$L$80)+SUMIF('07数值索引'!$A$5:$A$80,E9,'07数值索引'!$L$5:$L$80)+SUMIF('07数值索引'!$A$5:$A$80,F9,'07数值索引'!$L$5:$L$80)+SUMIF('07数值索引'!$A$5:$A$80,G9,'07数值索引'!$L$5:$L$80)+SUMIF('07数值索引'!$A$5:$A$80,H9,'07数值索引'!$L$5:$L$80)+SUMIF('07数值索引'!$A$5:$A$80,I9,'07数值索引'!$L$5:$L$80)+SUMIF('07数值索引'!$A$5:$A$80,J9,'07数值索引'!$L$5:$L$80)+SUMIF('07数值索引'!$A$5:$A$80,K9,'07数值索引'!$L$5:$L$80)+SUMIF('07数值索引'!$A$5:$A$80,L9,'07数值索引'!$L$5:$L$80)+SUMIF('07数值索引'!$A$5:$A$80,M9,'07数值索引'!$L$5:$L$80)+SUMIF('07数值索引'!$A$5:$A$80,N9,'07数值索引'!$L$5:$L$80)</f>
        <v>1</v>
      </c>
      <c r="X9" s="8">
        <f>0+SUMIF('07数值索引'!$A$5:$A$80,C9,'07数值索引'!$M$5:$M$80)+SUMIF('07数值索引'!$A$5:$A$80,D9,'07数值索引'!$M$5:$M$80)+SUMIF('07数值索引'!$A$5:$A$80,E9,'07数值索引'!$M$5:$M$80)+SUMIF('07数值索引'!$A$5:$A$80,F9,'07数值索引'!$M$5:$M$80)+SUMIF('07数值索引'!$A$5:$A$80,G9,'07数值索引'!$M$5:$M$80)+SUMIF('07数值索引'!$A$5:$A$80,H9,'07数值索引'!$M$5:$M$80)+SUMIF('07数值索引'!$A$5:$A$80,I9,'07数值索引'!$M$5:$M$80)+SUMIF('07数值索引'!$A$5:$A$80,J9,'07数值索引'!$M$5:$M$80)+SUMIF('07数值索引'!$A$5:$A$80,K9,'07数值索引'!$M$5:$M$80)+SUMIF('07数值索引'!$A$5:$A$80,L9,'07数值索引'!$M$5:$M$80)+SUMIF('07数值索引'!$A$5:$A$80,M9,'07数值索引'!$M$5:$M$80)+SUMIF('07数值索引'!$A$5:$A$80,N9,'07数值索引'!$M$5:$M$80)</f>
        <v>1</v>
      </c>
      <c r="Y9" s="8">
        <f>0+SUMIF('07数值索引'!$A$5:$A$80,C9,'07数值索引'!$N$5:$N$80)+SUMIF('07数值索引'!$A$5:$A$80,D9,'07数值索引'!$N$5:$N$80)+SUMIF('07数值索引'!$A$5:$A$80,E9,'07数值索引'!$N$5:$N$80)+SUMIF('07数值索引'!$A$5:$A$80,F9,'07数值索引'!$N$5:$N$80)+SUMIF('07数值索引'!$A$5:$A$80,G9,'07数值索引'!$N$5:$N$80)+SUMIF('07数值索引'!$A$5:$A$80,H9,'07数值索引'!$N$5:$N$80)+SUMIF('07数值索引'!$A$5:$A$80,I9,'07数值索引'!$N$5:$N$80)+SUMIF('07数值索引'!$A$5:$A$80,J9,'07数值索引'!$N$5:$N$80)+SUMIF('07数值索引'!$A$5:$A$80,K9,'07数值索引'!$N$5:$N$80)+SUMIF('07数值索引'!$A$5:$A$80,L9,'07数值索引'!$N$5:$N$80)+SUMIF('07数值索引'!$A$5:$A$80,M9,'07数值索引'!$N$5:$N$80)+SUMIF('07数值索引'!$A$5:$A$80,N9,'07数值索引'!$N$5:$N$80)</f>
        <v>0</v>
      </c>
      <c r="Z9" s="8">
        <f>0+SUMIF('07数值索引'!$A$5:$A$80,C9,'07数值索引'!$O$5:$O$80)+SUMIF('07数值索引'!$A$5:$A$80,D9,'07数值索引'!$O$5:$O$80)+SUMIF('07数值索引'!$A$5:$A$80,E9,'07数值索引'!$O$5:$O$80)+SUMIF('07数值索引'!$A$5:$A$80,F9,'07数值索引'!$O$5:$O$80)+SUMIF('07数值索引'!$A$5:$A$80,G9,'07数值索引'!$O$5:$O$80)+SUMIF('07数值索引'!$A$5:$A$80,H9,'07数值索引'!$O$5:$O$80)+SUMIF('07数值索引'!$A$5:$A$80,I9,'07数值索引'!$O$5:$O$80)+SUMIF('07数值索引'!$A$5:$A$80,J9,'07数值索引'!$O$5:$O$80)+SUMIF('07数值索引'!$A$5:$A$80,K9,'07数值索引'!$O$5:$O$80)+SUMIF('07数值索引'!$A$5:$A$80,L9,'07数值索引'!$O$5:$O$80)+SUMIF('07数值索引'!$A$5:$A$80,M9,'07数值索引'!$O$5:$O$80)+SUMIF('07数值索引'!$A$5:$A$80,N9,'07数值索引'!$O$5:$O$80)</f>
        <v>0</v>
      </c>
      <c r="AA9" s="8">
        <f>0+SUMIF('07数值索引'!$A$5:$A$80,C9,'07数值索引'!$P$5:$P$80)+SUMIF('07数值索引'!$A$5:$A$80,D9,'07数值索引'!$P$5:$P$80)+SUMIF('07数值索引'!$A$5:$A$80,E9,'07数值索引'!$P$5:$P$80)+SUMIF('07数值索引'!$A$5:$A$80,F9,'07数值索引'!$P$5:$P$80)+SUMIF('07数值索引'!$A$5:$A$80,G9,'07数值索引'!$P$5:$P$80)+SUMIF('07数值索引'!$A$5:$A$80,H9,'07数值索引'!$P$5:$P$80)+SUMIF('07数值索引'!$A$5:$A$80,I9,'07数值索引'!$P$5:$P$80)+SUMIF('07数值索引'!$A$5:$A$80,J9,'07数值索引'!$P$5:$P$80)+SUMIF('07数值索引'!$A$5:$A$80,K9,'07数值索引'!$P$5:$P$80)+SUMIF('07数值索引'!$A$5:$A$80,L9,'07数值索引'!$P$5:$P$80)+SUMIF('07数值索引'!$A$5:$A$80,M9,'07数值索引'!$P$5:$P$80)+SUMIF('07数值索引'!$A$5:$A$80,N9,'07数值索引'!$P$5:$P$80)</f>
        <v>0</v>
      </c>
      <c r="AB9" s="8">
        <f>0+SUMIF('07数值索引'!$A$5:$A$80,C9,'07数值索引'!$Q$5:$Q$80)+SUMIF('07数值索引'!$A$5:$A$80,D9,'07数值索引'!$Q$5:$Q$80)+SUMIF('07数值索引'!$A$5:$A$80,E9,'07数值索引'!$Q$5:$Q$80)+SUMIF('07数值索引'!$A$5:$A$80,F9,'07数值索引'!$Q$5:$Q$80)+SUMIF('07数值索引'!$A$5:$A$80,G9,'07数值索引'!$Q$5:$Q$80)+SUMIF('07数值索引'!$A$5:$A$80,H9,'07数值索引'!$Q$5:$Q$80)+SUMIF('07数值索引'!$A$5:$A$80,I9,'07数值索引'!$Q$5:$Q$80)+SUMIF('07数值索引'!$A$5:$A$80,J9,'07数值索引'!$Q$5:$Q$80)+SUMIF('07数值索引'!$A$5:$A$80,K9,'07数值索引'!$Q$5:$Q$80)+SUMIF('07数值索引'!$A$5:$A$80,L9,'07数值索引'!$Q$5:$Q$80)+SUMIF('07数值索引'!$A$5:$A$80,M9,'07数值索引'!$Q$5:$Q$80)+SUMIF('07数值索引'!$A$5:$A$80,N9,'07数值索引'!$Q$5:$Q$80)</f>
        <v>1</v>
      </c>
      <c r="AC9" s="8">
        <f>0+SUMIF('07数值索引'!$A$5:$A$80,C9,'07数值索引'!$R$5:$R$80)+SUMIF('07数值索引'!$A$5:$A$80,D9,'07数值索引'!$R$5:$R$80)+SUMIF('07数值索引'!$A$5:$A$80,E9,'07数值索引'!$R$5:$R$80)+SUMIF('07数值索引'!$A$5:$A$80,F9,'07数值索引'!$R$5:$R$80)+SUMIF('07数值索引'!$A$5:$A$80,G9,'07数值索引'!$R$5:$R$80)+SUMIF('07数值索引'!$A$5:$A$80,H9,'07数值索引'!$R$5:$R$80)+SUMIF('07数值索引'!$A$5:$A$80,I9,'07数值索引'!$R$5:$R$80)+SUMIF('07数值索引'!$A$5:$A$80,J9,'07数值索引'!$R$5:$R$80)+SUMIF('07数值索引'!$A$5:$A$80,K9,'07数值索引'!$R$5:$R$80)+SUMIF('07数值索引'!$A$5:$A$80,L9,'07数值索引'!$R$5:$R$80)+SUMIF('07数值索引'!$A$5:$A$80,M9,'07数值索引'!$R$5:$R$80)+SUMIF('07数值索引'!$A$5:$A$80,N9,'07数值索引'!$R$5:$R$80)</f>
        <v>0</v>
      </c>
      <c r="AD9" s="8" t="str">
        <f t="shared" si="0"/>
        <v>《审判》</v>
      </c>
      <c r="AE9" s="8" t="s">
        <v>537</v>
      </c>
      <c r="AF9" s="8" t="str">
        <f t="shared" si="1"/>
        <v>PASS</v>
      </c>
      <c r="AG9" s="39" t="s">
        <v>680</v>
      </c>
      <c r="AH9" s="8" t="str">
        <f t="shared" si="2"/>
        <v>是</v>
      </c>
      <c r="AI9" s="8" t="str">
        <f>IF(AND(OR(C9="",COUNTIF('07数值索引'!$A$5:$A$80,C9)=1),OR(D9="",COUNTIF('07数值索引'!$A$5:$A$80,D9)=1),OR(E9="",COUNTIF('07数值索引'!$A$5:$A$80,E9)=1),OR(F9="",COUNTIF('07数值索引'!$A$5:$A$80,F9)=1),OR(G9="",COUNTIF('07数值索引'!$A$5:$A$80,G9)=1),OR(H9="",COUNTIF('07数值索引'!$A$5:$A$80,H9)=1),OR(I9="",COUNTIF('07数值索引'!$A$5:$A$80,I9)=1),OR(J9="",COUNTIF('07数值索引'!$A$5:$A$80,J9)=1),OR(K9="",COUNTIF('07数值索引'!$A$5:$A$80,K9)=1),OR(L9="",COUNTIF('07数值索引'!$A$5:$A$80,L9)=1),OR(M9="",COUNTIF('07数值索引'!$A$5:$A$80,M9)=1),OR(N9="",COUNTIF('07数值索引'!$A$5:$A$80,N9)=1)),"PASS","CHECK")</f>
        <v>PASS</v>
      </c>
      <c r="AJ9" s="8" t="str">
        <f>IFERROR(VLOOKUP(A9,'08A前置合法性'!$X$5:$Z$20,3,FALSE),"CHECK")</f>
        <v>PASS</v>
      </c>
      <c r="AK9" s="8" t="str">
        <f t="shared" si="3"/>
        <v>PASS</v>
      </c>
    </row>
    <row r="10" ht="48" customHeight="1" spans="1:37">
      <c r="A10" s="33" t="s">
        <v>681</v>
      </c>
      <c r="B10" s="34" t="s">
        <v>682</v>
      </c>
      <c r="C10" s="34" t="s">
        <v>582</v>
      </c>
      <c r="D10" s="34" t="s">
        <v>144</v>
      </c>
      <c r="E10" s="34" t="s">
        <v>165</v>
      </c>
      <c r="F10" s="34" t="s">
        <v>249</v>
      </c>
      <c r="G10" s="34" t="s">
        <v>187</v>
      </c>
      <c r="H10" s="34" t="s">
        <v>197</v>
      </c>
      <c r="I10" s="34" t="s">
        <v>441</v>
      </c>
      <c r="J10" s="34" t="s">
        <v>467</v>
      </c>
      <c r="K10" s="34" t="s">
        <v>469</v>
      </c>
      <c r="L10" s="34" t="s">
        <v>479</v>
      </c>
      <c r="M10" s="34" t="s">
        <v>636</v>
      </c>
      <c r="N10" s="34" t="s">
        <v>209</v>
      </c>
      <c r="O10" s="35">
        <f>0+SUMIF('07数值索引'!$A$5:$A$80,C10,'07数值索引'!$D$5:$D$80)+SUMIF('07数值索引'!$A$5:$A$80,D10,'07数值索引'!$D$5:$D$80)+SUMIF('07数值索引'!$A$5:$A$80,E10,'07数值索引'!$D$5:$D$80)+SUMIF('07数值索引'!$A$5:$A$80,F10,'07数值索引'!$D$5:$D$80)+SUMIF('07数值索引'!$A$5:$A$80,G10,'07数值索引'!$D$5:$D$80)+SUMIF('07数值索引'!$A$5:$A$80,H10,'07数值索引'!$D$5:$D$80)+SUMIF('07数值索引'!$A$5:$A$80,I10,'07数值索引'!$D$5:$D$80)+SUMIF('07数值索引'!$A$5:$A$80,J10,'07数值索引'!$D$5:$D$80)+SUMIF('07数值索引'!$A$5:$A$80,K10,'07数值索引'!$D$5:$D$80)+SUMIF('07数值索引'!$A$5:$A$80,L10,'07数值索引'!$D$5:$D$80)+SUMIF('07数值索引'!$A$5:$A$80,M10,'07数值索引'!$D$5:$D$80)+SUMIF('07数值索引'!$A$5:$A$80,N10,'07数值索引'!$D$5:$D$80)</f>
        <v>10</v>
      </c>
      <c r="P10" s="35">
        <f>0+SUMIF('07数值索引'!$A$5:$A$80,C10,'07数值索引'!$E$5:$E$80)+SUMIF('07数值索引'!$A$5:$A$80,D10,'07数值索引'!$E$5:$E$80)+SUMIF('07数值索引'!$A$5:$A$80,E10,'07数值索引'!$E$5:$E$80)+SUMIF('07数值索引'!$A$5:$A$80,F10,'07数值索引'!$E$5:$E$80)+SUMIF('07数值索引'!$A$5:$A$80,G10,'07数值索引'!$E$5:$E$80)+SUMIF('07数值索引'!$A$5:$A$80,H10,'07数值索引'!$E$5:$E$80)+SUMIF('07数值索引'!$A$5:$A$80,I10,'07数值索引'!$E$5:$E$80)+SUMIF('07数值索引'!$A$5:$A$80,J10,'07数值索引'!$E$5:$E$80)+SUMIF('07数值索引'!$A$5:$A$80,K10,'07数值索引'!$E$5:$E$80)+SUMIF('07数值索引'!$A$5:$A$80,L10,'07数值索引'!$E$5:$E$80)+SUMIF('07数值索引'!$A$5:$A$80,M10,'07数值索引'!$E$5:$E$80)+SUMIF('07数值索引'!$A$5:$A$80,N10,'07数值索引'!$E$5:$E$80)</f>
        <v>-1</v>
      </c>
      <c r="Q10" s="35">
        <f>0+SUMIF('07数值索引'!$A$5:$A$80,C10,'07数值索引'!$F$5:$F$80)+SUMIF('07数值索引'!$A$5:$A$80,D10,'07数值索引'!$F$5:$F$80)+SUMIF('07数值索引'!$A$5:$A$80,E10,'07数值索引'!$F$5:$F$80)+SUMIF('07数值索引'!$A$5:$A$80,F10,'07数值索引'!$F$5:$F$80)+SUMIF('07数值索引'!$A$5:$A$80,G10,'07数值索引'!$F$5:$F$80)+SUMIF('07数值索引'!$A$5:$A$80,H10,'07数值索引'!$F$5:$F$80)+SUMIF('07数值索引'!$A$5:$A$80,I10,'07数值索引'!$F$5:$F$80)+SUMIF('07数值索引'!$A$5:$A$80,J10,'07数值索引'!$F$5:$F$80)+SUMIF('07数值索引'!$A$5:$A$80,K10,'07数值索引'!$F$5:$F$80)+SUMIF('07数值索引'!$A$5:$A$80,L10,'07数值索引'!$F$5:$F$80)+SUMIF('07数值索引'!$A$5:$A$80,M10,'07数值索引'!$F$5:$F$80)+SUMIF('07数值索引'!$A$5:$A$80,N10,'07数值索引'!$F$5:$F$80)</f>
        <v>8</v>
      </c>
      <c r="R10" s="35">
        <f>0+SUMIF('07数值索引'!$A$5:$A$80,C10,'07数值索引'!$G$5:$G$80)+SUMIF('07数值索引'!$A$5:$A$80,D10,'07数值索引'!$G$5:$G$80)+SUMIF('07数值索引'!$A$5:$A$80,E10,'07数值索引'!$G$5:$G$80)+SUMIF('07数值索引'!$A$5:$A$80,F10,'07数值索引'!$G$5:$G$80)+SUMIF('07数值索引'!$A$5:$A$80,G10,'07数值索引'!$G$5:$G$80)+SUMIF('07数值索引'!$A$5:$A$80,H10,'07数值索引'!$G$5:$G$80)+SUMIF('07数值索引'!$A$5:$A$80,I10,'07数值索引'!$G$5:$G$80)+SUMIF('07数值索引'!$A$5:$A$80,J10,'07数值索引'!$G$5:$G$80)+SUMIF('07数值索引'!$A$5:$A$80,K10,'07数值索引'!$G$5:$G$80)+SUMIF('07数值索引'!$A$5:$A$80,L10,'07数值索引'!$G$5:$G$80)+SUMIF('07数值索引'!$A$5:$A$80,M10,'07数值索引'!$G$5:$G$80)+SUMIF('07数值索引'!$A$5:$A$80,N10,'07数值索引'!$G$5:$G$80)</f>
        <v>7</v>
      </c>
      <c r="S10" s="34">
        <f>0+SUMIF('07数值索引'!$A$5:$A$80,C10,'07数值索引'!$H$5:$H$80)+SUMIF('07数值索引'!$A$5:$A$80,D10,'07数值索引'!$H$5:$H$80)+SUMIF('07数值索引'!$A$5:$A$80,E10,'07数值索引'!$H$5:$H$80)+SUMIF('07数值索引'!$A$5:$A$80,F10,'07数值索引'!$H$5:$H$80)+SUMIF('07数值索引'!$A$5:$A$80,G10,'07数值索引'!$H$5:$H$80)+SUMIF('07数值索引'!$A$5:$A$80,H10,'07数值索引'!$H$5:$H$80)+SUMIF('07数值索引'!$A$5:$A$80,I10,'07数值索引'!$H$5:$H$80)+SUMIF('07数值索引'!$A$5:$A$80,J10,'07数值索引'!$H$5:$H$80)+SUMIF('07数值索引'!$A$5:$A$80,K10,'07数值索引'!$H$5:$H$80)+SUMIF('07数值索引'!$A$5:$A$80,L10,'07数值索引'!$H$5:$H$80)+SUMIF('07数值索引'!$A$5:$A$80,M10,'07数值索引'!$H$5:$H$80)+SUMIF('07数值索引'!$A$5:$A$80,N10,'07数值索引'!$H$5:$H$80)</f>
        <v>1</v>
      </c>
      <c r="T10" s="34">
        <f>0+SUMIF('07数值索引'!$A$5:$A$80,C10,'07数值索引'!$I$5:$I$80)+SUMIF('07数值索引'!$A$5:$A$80,D10,'07数值索引'!$I$5:$I$80)+SUMIF('07数值索引'!$A$5:$A$80,E10,'07数值索引'!$I$5:$I$80)+SUMIF('07数值索引'!$A$5:$A$80,F10,'07数值索引'!$I$5:$I$80)+SUMIF('07数值索引'!$A$5:$A$80,G10,'07数值索引'!$I$5:$I$80)+SUMIF('07数值索引'!$A$5:$A$80,H10,'07数值索引'!$I$5:$I$80)+SUMIF('07数值索引'!$A$5:$A$80,I10,'07数值索引'!$I$5:$I$80)+SUMIF('07数值索引'!$A$5:$A$80,J10,'07数值索引'!$I$5:$I$80)+SUMIF('07数值索引'!$A$5:$A$80,K10,'07数值索引'!$I$5:$I$80)+SUMIF('07数值索引'!$A$5:$A$80,L10,'07数值索引'!$I$5:$I$80)+SUMIF('07数值索引'!$A$5:$A$80,M10,'07数值索引'!$I$5:$I$80)+SUMIF('07数值索引'!$A$5:$A$80,N10,'07数值索引'!$I$5:$I$80)</f>
        <v>1</v>
      </c>
      <c r="U10" s="34">
        <f>0+SUMIF('07数值索引'!$A$5:$A$80,C10,'07数值索引'!$J$5:$J$80)+SUMIF('07数值索引'!$A$5:$A$80,D10,'07数值索引'!$J$5:$J$80)+SUMIF('07数值索引'!$A$5:$A$80,E10,'07数值索引'!$J$5:$J$80)+SUMIF('07数值索引'!$A$5:$A$80,F10,'07数值索引'!$J$5:$J$80)+SUMIF('07数值索引'!$A$5:$A$80,G10,'07数值索引'!$J$5:$J$80)+SUMIF('07数值索引'!$A$5:$A$80,H10,'07数值索引'!$J$5:$J$80)+SUMIF('07数值索引'!$A$5:$A$80,I10,'07数值索引'!$J$5:$J$80)+SUMIF('07数值索引'!$A$5:$A$80,J10,'07数值索引'!$J$5:$J$80)+SUMIF('07数值索引'!$A$5:$A$80,K10,'07数值索引'!$J$5:$J$80)+SUMIF('07数值索引'!$A$5:$A$80,L10,'07数值索引'!$J$5:$J$80)+SUMIF('07数值索引'!$A$5:$A$80,M10,'07数值索引'!$J$5:$J$80)+SUMIF('07数值索引'!$A$5:$A$80,N10,'07数值索引'!$J$5:$J$80)</f>
        <v>0</v>
      </c>
      <c r="V10" s="34">
        <f>0+SUMIF('07数值索引'!$A$5:$A$80,C10,'07数值索引'!$K$5:$K$80)+SUMIF('07数值索引'!$A$5:$A$80,D10,'07数值索引'!$K$5:$K$80)+SUMIF('07数值索引'!$A$5:$A$80,E10,'07数值索引'!$K$5:$K$80)+SUMIF('07数值索引'!$A$5:$A$80,F10,'07数值索引'!$K$5:$K$80)+SUMIF('07数值索引'!$A$5:$A$80,G10,'07数值索引'!$K$5:$K$80)+SUMIF('07数值索引'!$A$5:$A$80,H10,'07数值索引'!$K$5:$K$80)+SUMIF('07数值索引'!$A$5:$A$80,I10,'07数值索引'!$K$5:$K$80)+SUMIF('07数值索引'!$A$5:$A$80,J10,'07数值索引'!$K$5:$K$80)+SUMIF('07数值索引'!$A$5:$A$80,K10,'07数值索引'!$K$5:$K$80)+SUMIF('07数值索引'!$A$5:$A$80,L10,'07数值索引'!$K$5:$K$80)+SUMIF('07数值索引'!$A$5:$A$80,M10,'07数值索引'!$K$5:$K$80)+SUMIF('07数值索引'!$A$5:$A$80,N10,'07数值索引'!$K$5:$K$80)</f>
        <v>0</v>
      </c>
      <c r="W10" s="34">
        <f>0+SUMIF('07数值索引'!$A$5:$A$80,C10,'07数值索引'!$L$5:$L$80)+SUMIF('07数值索引'!$A$5:$A$80,D10,'07数值索引'!$L$5:$L$80)+SUMIF('07数值索引'!$A$5:$A$80,E10,'07数值索引'!$L$5:$L$80)+SUMIF('07数值索引'!$A$5:$A$80,F10,'07数值索引'!$L$5:$L$80)+SUMIF('07数值索引'!$A$5:$A$80,G10,'07数值索引'!$L$5:$L$80)+SUMIF('07数值索引'!$A$5:$A$80,H10,'07数值索引'!$L$5:$L$80)+SUMIF('07数值索引'!$A$5:$A$80,I10,'07数值索引'!$L$5:$L$80)+SUMIF('07数值索引'!$A$5:$A$80,J10,'07数值索引'!$L$5:$L$80)+SUMIF('07数值索引'!$A$5:$A$80,K10,'07数值索引'!$L$5:$L$80)+SUMIF('07数值索引'!$A$5:$A$80,L10,'07数值索引'!$L$5:$L$80)+SUMIF('07数值索引'!$A$5:$A$80,M10,'07数值索引'!$L$5:$L$80)+SUMIF('07数值索引'!$A$5:$A$80,N10,'07数值索引'!$L$5:$L$80)</f>
        <v>0</v>
      </c>
      <c r="X10" s="34">
        <f>0+SUMIF('07数值索引'!$A$5:$A$80,C10,'07数值索引'!$M$5:$M$80)+SUMIF('07数值索引'!$A$5:$A$80,D10,'07数值索引'!$M$5:$M$80)+SUMIF('07数值索引'!$A$5:$A$80,E10,'07数值索引'!$M$5:$M$80)+SUMIF('07数值索引'!$A$5:$A$80,F10,'07数值索引'!$M$5:$M$80)+SUMIF('07数值索引'!$A$5:$A$80,G10,'07数值索引'!$M$5:$M$80)+SUMIF('07数值索引'!$A$5:$A$80,H10,'07数值索引'!$M$5:$M$80)+SUMIF('07数值索引'!$A$5:$A$80,I10,'07数值索引'!$M$5:$M$80)+SUMIF('07数值索引'!$A$5:$A$80,J10,'07数值索引'!$M$5:$M$80)+SUMIF('07数值索引'!$A$5:$A$80,K10,'07数值索引'!$M$5:$M$80)+SUMIF('07数值索引'!$A$5:$A$80,L10,'07数值索引'!$M$5:$M$80)+SUMIF('07数值索引'!$A$5:$A$80,M10,'07数值索引'!$M$5:$M$80)+SUMIF('07数值索引'!$A$5:$A$80,N10,'07数值索引'!$M$5:$M$80)</f>
        <v>1</v>
      </c>
      <c r="Y10" s="34">
        <f>0+SUMIF('07数值索引'!$A$5:$A$80,C10,'07数值索引'!$N$5:$N$80)+SUMIF('07数值索引'!$A$5:$A$80,D10,'07数值索引'!$N$5:$N$80)+SUMIF('07数值索引'!$A$5:$A$80,E10,'07数值索引'!$N$5:$N$80)+SUMIF('07数值索引'!$A$5:$A$80,F10,'07数值索引'!$N$5:$N$80)+SUMIF('07数值索引'!$A$5:$A$80,G10,'07数值索引'!$N$5:$N$80)+SUMIF('07数值索引'!$A$5:$A$80,H10,'07数值索引'!$N$5:$N$80)+SUMIF('07数值索引'!$A$5:$A$80,I10,'07数值索引'!$N$5:$N$80)+SUMIF('07数值索引'!$A$5:$A$80,J10,'07数值索引'!$N$5:$N$80)+SUMIF('07数值索引'!$A$5:$A$80,K10,'07数值索引'!$N$5:$N$80)+SUMIF('07数值索引'!$A$5:$A$80,L10,'07数值索引'!$N$5:$N$80)+SUMIF('07数值索引'!$A$5:$A$80,M10,'07数值索引'!$N$5:$N$80)+SUMIF('07数值索引'!$A$5:$A$80,N10,'07数值索引'!$N$5:$N$80)</f>
        <v>1</v>
      </c>
      <c r="Z10" s="34">
        <f>0+SUMIF('07数值索引'!$A$5:$A$80,C10,'07数值索引'!$O$5:$O$80)+SUMIF('07数值索引'!$A$5:$A$80,D10,'07数值索引'!$O$5:$O$80)+SUMIF('07数值索引'!$A$5:$A$80,E10,'07数值索引'!$O$5:$O$80)+SUMIF('07数值索引'!$A$5:$A$80,F10,'07数值索引'!$O$5:$O$80)+SUMIF('07数值索引'!$A$5:$A$80,G10,'07数值索引'!$O$5:$O$80)+SUMIF('07数值索引'!$A$5:$A$80,H10,'07数值索引'!$O$5:$O$80)+SUMIF('07数值索引'!$A$5:$A$80,I10,'07数值索引'!$O$5:$O$80)+SUMIF('07数值索引'!$A$5:$A$80,J10,'07数值索引'!$O$5:$O$80)+SUMIF('07数值索引'!$A$5:$A$80,K10,'07数值索引'!$O$5:$O$80)+SUMIF('07数值索引'!$A$5:$A$80,L10,'07数值索引'!$O$5:$O$80)+SUMIF('07数值索引'!$A$5:$A$80,M10,'07数值索引'!$O$5:$O$80)+SUMIF('07数值索引'!$A$5:$A$80,N10,'07数值索引'!$O$5:$O$80)</f>
        <v>0</v>
      </c>
      <c r="AA10" s="34">
        <f>0+SUMIF('07数值索引'!$A$5:$A$80,C10,'07数值索引'!$P$5:$P$80)+SUMIF('07数值索引'!$A$5:$A$80,D10,'07数值索引'!$P$5:$P$80)+SUMIF('07数值索引'!$A$5:$A$80,E10,'07数值索引'!$P$5:$P$80)+SUMIF('07数值索引'!$A$5:$A$80,F10,'07数值索引'!$P$5:$P$80)+SUMIF('07数值索引'!$A$5:$A$80,G10,'07数值索引'!$P$5:$P$80)+SUMIF('07数值索引'!$A$5:$A$80,H10,'07数值索引'!$P$5:$P$80)+SUMIF('07数值索引'!$A$5:$A$80,I10,'07数值索引'!$P$5:$P$80)+SUMIF('07数值索引'!$A$5:$A$80,J10,'07数值索引'!$P$5:$P$80)+SUMIF('07数值索引'!$A$5:$A$80,K10,'07数值索引'!$P$5:$P$80)+SUMIF('07数值索引'!$A$5:$A$80,L10,'07数值索引'!$P$5:$P$80)+SUMIF('07数值索引'!$A$5:$A$80,M10,'07数值索引'!$P$5:$P$80)+SUMIF('07数值索引'!$A$5:$A$80,N10,'07数值索引'!$P$5:$P$80)</f>
        <v>0</v>
      </c>
      <c r="AB10" s="34">
        <f>0+SUMIF('07数值索引'!$A$5:$A$80,C10,'07数值索引'!$Q$5:$Q$80)+SUMIF('07数值索引'!$A$5:$A$80,D10,'07数值索引'!$Q$5:$Q$80)+SUMIF('07数值索引'!$A$5:$A$80,E10,'07数值索引'!$Q$5:$Q$80)+SUMIF('07数值索引'!$A$5:$A$80,F10,'07数值索引'!$Q$5:$Q$80)+SUMIF('07数值索引'!$A$5:$A$80,G10,'07数值索引'!$Q$5:$Q$80)+SUMIF('07数值索引'!$A$5:$A$80,H10,'07数值索引'!$Q$5:$Q$80)+SUMIF('07数值索引'!$A$5:$A$80,I10,'07数值索引'!$Q$5:$Q$80)+SUMIF('07数值索引'!$A$5:$A$80,J10,'07数值索引'!$Q$5:$Q$80)+SUMIF('07数值索引'!$A$5:$A$80,K10,'07数值索引'!$Q$5:$Q$80)+SUMIF('07数值索引'!$A$5:$A$80,L10,'07数值索引'!$Q$5:$Q$80)+SUMIF('07数值索引'!$A$5:$A$80,M10,'07数值索引'!$Q$5:$Q$80)+SUMIF('07数值索引'!$A$5:$A$80,N10,'07数值索引'!$Q$5:$Q$80)</f>
        <v>0</v>
      </c>
      <c r="AC10" s="34">
        <f>0+SUMIF('07数值索引'!$A$5:$A$80,C10,'07数值索引'!$R$5:$R$80)+SUMIF('07数值索引'!$A$5:$A$80,D10,'07数值索引'!$R$5:$R$80)+SUMIF('07数值索引'!$A$5:$A$80,E10,'07数值索引'!$R$5:$R$80)+SUMIF('07数值索引'!$A$5:$A$80,F10,'07数值索引'!$R$5:$R$80)+SUMIF('07数值索引'!$A$5:$A$80,G10,'07数值索引'!$R$5:$R$80)+SUMIF('07数值索引'!$A$5:$A$80,H10,'07数值索引'!$R$5:$R$80)+SUMIF('07数值索引'!$A$5:$A$80,I10,'07数值索引'!$R$5:$R$80)+SUMIF('07数值索引'!$A$5:$A$80,J10,'07数值索引'!$R$5:$R$80)+SUMIF('07数值索引'!$A$5:$A$80,K10,'07数值索引'!$R$5:$R$80)+SUMIF('07数值索引'!$A$5:$A$80,L10,'07数值索引'!$R$5:$R$80)+SUMIF('07数值索引'!$A$5:$A$80,M10,'07数值索引'!$R$5:$R$80)+SUMIF('07数值索引'!$A$5:$A$80,N10,'07数值索引'!$R$5:$R$80)</f>
        <v>0</v>
      </c>
      <c r="AD10" s="34" t="str">
        <f t="shared" si="0"/>
        <v>《证人之死》</v>
      </c>
      <c r="AE10" s="34" t="s">
        <v>527</v>
      </c>
      <c r="AF10" s="34" t="str">
        <f t="shared" si="1"/>
        <v>PASS</v>
      </c>
      <c r="AG10" s="36" t="s">
        <v>683</v>
      </c>
      <c r="AH10" s="8" t="str">
        <f t="shared" si="2"/>
        <v>否</v>
      </c>
      <c r="AI10" s="8" t="str">
        <f>IF(AND(OR(C10="",COUNTIF('07数值索引'!$A$5:$A$80,C10)=1),OR(D10="",COUNTIF('07数值索引'!$A$5:$A$80,D10)=1),OR(E10="",COUNTIF('07数值索引'!$A$5:$A$80,E10)=1),OR(F10="",COUNTIF('07数值索引'!$A$5:$A$80,F10)=1),OR(G10="",COUNTIF('07数值索引'!$A$5:$A$80,G10)=1),OR(H10="",COUNTIF('07数值索引'!$A$5:$A$80,H10)=1),OR(I10="",COUNTIF('07数值索引'!$A$5:$A$80,I10)=1),OR(J10="",COUNTIF('07数值索引'!$A$5:$A$80,J10)=1),OR(K10="",COUNTIF('07数值索引'!$A$5:$A$80,K10)=1),OR(L10="",COUNTIF('07数值索引'!$A$5:$A$80,L10)=1),OR(M10="",COUNTIF('07数值索引'!$A$5:$A$80,M10)=1),OR(N10="",COUNTIF('07数值索引'!$A$5:$A$80,N10)=1)),"PASS","CHECK")</f>
        <v>PASS</v>
      </c>
      <c r="AJ10" s="8" t="str">
        <f>IFERROR(VLOOKUP(A10,'08A前置合法性'!$X$5:$Z$20,3,FALSE),"CHECK")</f>
        <v>PASS</v>
      </c>
      <c r="AK10" s="8" t="str">
        <f t="shared" si="3"/>
        <v>PASS</v>
      </c>
    </row>
    <row r="11" ht="48" customHeight="1" spans="1:37">
      <c r="A11" s="37" t="s">
        <v>684</v>
      </c>
      <c r="B11" s="8" t="s">
        <v>685</v>
      </c>
      <c r="C11" s="8" t="s">
        <v>582</v>
      </c>
      <c r="D11" s="8" t="s">
        <v>155</v>
      </c>
      <c r="E11" s="8" t="s">
        <v>169</v>
      </c>
      <c r="F11" s="8" t="s">
        <v>276</v>
      </c>
      <c r="G11" s="8" t="s">
        <v>179</v>
      </c>
      <c r="H11" s="8" t="s">
        <v>197</v>
      </c>
      <c r="I11" s="8" t="s">
        <v>450</v>
      </c>
      <c r="J11" s="8" t="s">
        <v>464</v>
      </c>
      <c r="K11" s="8" t="s">
        <v>473</v>
      </c>
      <c r="L11" s="8" t="s">
        <v>484</v>
      </c>
      <c r="M11" s="8" t="s">
        <v>636</v>
      </c>
      <c r="N11" s="8" t="s">
        <v>218</v>
      </c>
      <c r="O11" s="38">
        <f>0+SUMIF('07数值索引'!$A$5:$A$80,C11,'07数值索引'!$D$5:$D$80)+SUMIF('07数值索引'!$A$5:$A$80,D11,'07数值索引'!$D$5:$D$80)+SUMIF('07数值索引'!$A$5:$A$80,E11,'07数值索引'!$D$5:$D$80)+SUMIF('07数值索引'!$A$5:$A$80,F11,'07数值索引'!$D$5:$D$80)+SUMIF('07数值索引'!$A$5:$A$80,G11,'07数值索引'!$D$5:$D$80)+SUMIF('07数值索引'!$A$5:$A$80,H11,'07数值索引'!$D$5:$D$80)+SUMIF('07数值索引'!$A$5:$A$80,I11,'07数值索引'!$D$5:$D$80)+SUMIF('07数值索引'!$A$5:$A$80,J11,'07数值索引'!$D$5:$D$80)+SUMIF('07数值索引'!$A$5:$A$80,K11,'07数值索引'!$D$5:$D$80)+SUMIF('07数值索引'!$A$5:$A$80,L11,'07数值索引'!$D$5:$D$80)+SUMIF('07数值索引'!$A$5:$A$80,M11,'07数值索引'!$D$5:$D$80)+SUMIF('07数值索引'!$A$5:$A$80,N11,'07数值索引'!$D$5:$D$80)</f>
        <v>3</v>
      </c>
      <c r="P11" s="38">
        <f>0+SUMIF('07数值索引'!$A$5:$A$80,C11,'07数值索引'!$E$5:$E$80)+SUMIF('07数值索引'!$A$5:$A$80,D11,'07数值索引'!$E$5:$E$80)+SUMIF('07数值索引'!$A$5:$A$80,E11,'07数值索引'!$E$5:$E$80)+SUMIF('07数值索引'!$A$5:$A$80,F11,'07数值索引'!$E$5:$E$80)+SUMIF('07数值索引'!$A$5:$A$80,G11,'07数值索引'!$E$5:$E$80)+SUMIF('07数值索引'!$A$5:$A$80,H11,'07数值索引'!$E$5:$E$80)+SUMIF('07数值索引'!$A$5:$A$80,I11,'07数值索引'!$E$5:$E$80)+SUMIF('07数值索引'!$A$5:$A$80,J11,'07数值索引'!$E$5:$E$80)+SUMIF('07数值索引'!$A$5:$A$80,K11,'07数值索引'!$E$5:$E$80)+SUMIF('07数值索引'!$A$5:$A$80,L11,'07数值索引'!$E$5:$E$80)+SUMIF('07数值索引'!$A$5:$A$80,M11,'07数值索引'!$E$5:$E$80)+SUMIF('07数值索引'!$A$5:$A$80,N11,'07数值索引'!$E$5:$E$80)</f>
        <v>13</v>
      </c>
      <c r="Q11" s="38">
        <f>0+SUMIF('07数值索引'!$A$5:$A$80,C11,'07数值索引'!$F$5:$F$80)+SUMIF('07数值索引'!$A$5:$A$80,D11,'07数值索引'!$F$5:$F$80)+SUMIF('07数值索引'!$A$5:$A$80,E11,'07数值索引'!$F$5:$F$80)+SUMIF('07数值索引'!$A$5:$A$80,F11,'07数值索引'!$F$5:$F$80)+SUMIF('07数值索引'!$A$5:$A$80,G11,'07数值索引'!$F$5:$F$80)+SUMIF('07数值索引'!$A$5:$A$80,H11,'07数值索引'!$F$5:$F$80)+SUMIF('07数值索引'!$A$5:$A$80,I11,'07数值索引'!$F$5:$F$80)+SUMIF('07数值索引'!$A$5:$A$80,J11,'07数值索引'!$F$5:$F$80)+SUMIF('07数值索引'!$A$5:$A$80,K11,'07数值索引'!$F$5:$F$80)+SUMIF('07数值索引'!$A$5:$A$80,L11,'07数值索引'!$F$5:$F$80)+SUMIF('07数值索引'!$A$5:$A$80,M11,'07数值索引'!$F$5:$F$80)+SUMIF('07数值索引'!$A$5:$A$80,N11,'07数值索引'!$F$5:$F$80)</f>
        <v>-5</v>
      </c>
      <c r="R11" s="38">
        <f>0+SUMIF('07数值索引'!$A$5:$A$80,C11,'07数值索引'!$G$5:$G$80)+SUMIF('07数值索引'!$A$5:$A$80,D11,'07数值索引'!$G$5:$G$80)+SUMIF('07数值索引'!$A$5:$A$80,E11,'07数值索引'!$G$5:$G$80)+SUMIF('07数值索引'!$A$5:$A$80,F11,'07数值索引'!$G$5:$G$80)+SUMIF('07数值索引'!$A$5:$A$80,G11,'07数值索引'!$G$5:$G$80)+SUMIF('07数值索引'!$A$5:$A$80,H11,'07数值索引'!$G$5:$G$80)+SUMIF('07数值索引'!$A$5:$A$80,I11,'07数值索引'!$G$5:$G$80)+SUMIF('07数值索引'!$A$5:$A$80,J11,'07数值索引'!$G$5:$G$80)+SUMIF('07数值索引'!$A$5:$A$80,K11,'07数值索引'!$G$5:$G$80)+SUMIF('07数值索引'!$A$5:$A$80,L11,'07数值索引'!$G$5:$G$80)+SUMIF('07数值索引'!$A$5:$A$80,M11,'07数值索引'!$G$5:$G$80)+SUMIF('07数值索引'!$A$5:$A$80,N11,'07数值索引'!$G$5:$G$80)</f>
        <v>11</v>
      </c>
      <c r="S11" s="8">
        <f>0+SUMIF('07数值索引'!$A$5:$A$80,C11,'07数值索引'!$H$5:$H$80)+SUMIF('07数值索引'!$A$5:$A$80,D11,'07数值索引'!$H$5:$H$80)+SUMIF('07数值索引'!$A$5:$A$80,E11,'07数值索引'!$H$5:$H$80)+SUMIF('07数值索引'!$A$5:$A$80,F11,'07数值索引'!$H$5:$H$80)+SUMIF('07数值索引'!$A$5:$A$80,G11,'07数值索引'!$H$5:$H$80)+SUMIF('07数值索引'!$A$5:$A$80,H11,'07数值索引'!$H$5:$H$80)+SUMIF('07数值索引'!$A$5:$A$80,I11,'07数值索引'!$H$5:$H$80)+SUMIF('07数值索引'!$A$5:$A$80,J11,'07数值索引'!$H$5:$H$80)+SUMIF('07数值索引'!$A$5:$A$80,K11,'07数值索引'!$H$5:$H$80)+SUMIF('07数值索引'!$A$5:$A$80,L11,'07数值索引'!$H$5:$H$80)+SUMIF('07数值索引'!$A$5:$A$80,M11,'07数值索引'!$H$5:$H$80)+SUMIF('07数值索引'!$A$5:$A$80,N11,'07数值索引'!$H$5:$H$80)</f>
        <v>2</v>
      </c>
      <c r="T11" s="8">
        <f>0+SUMIF('07数值索引'!$A$5:$A$80,C11,'07数值索引'!$I$5:$I$80)+SUMIF('07数值索引'!$A$5:$A$80,D11,'07数值索引'!$I$5:$I$80)+SUMIF('07数值索引'!$A$5:$A$80,E11,'07数值索引'!$I$5:$I$80)+SUMIF('07数值索引'!$A$5:$A$80,F11,'07数值索引'!$I$5:$I$80)+SUMIF('07数值索引'!$A$5:$A$80,G11,'07数值索引'!$I$5:$I$80)+SUMIF('07数值索引'!$A$5:$A$80,H11,'07数值索引'!$I$5:$I$80)+SUMIF('07数值索引'!$A$5:$A$80,I11,'07数值索引'!$I$5:$I$80)+SUMIF('07数值索引'!$A$5:$A$80,J11,'07数值索引'!$I$5:$I$80)+SUMIF('07数值索引'!$A$5:$A$80,K11,'07数值索引'!$I$5:$I$80)+SUMIF('07数值索引'!$A$5:$A$80,L11,'07数值索引'!$I$5:$I$80)+SUMIF('07数值索引'!$A$5:$A$80,M11,'07数值索引'!$I$5:$I$80)+SUMIF('07数值索引'!$A$5:$A$80,N11,'07数值索引'!$I$5:$I$80)</f>
        <v>0</v>
      </c>
      <c r="U11" s="8">
        <f>0+SUMIF('07数值索引'!$A$5:$A$80,C11,'07数值索引'!$J$5:$J$80)+SUMIF('07数值索引'!$A$5:$A$80,D11,'07数值索引'!$J$5:$J$80)+SUMIF('07数值索引'!$A$5:$A$80,E11,'07数值索引'!$J$5:$J$80)+SUMIF('07数值索引'!$A$5:$A$80,F11,'07数值索引'!$J$5:$J$80)+SUMIF('07数值索引'!$A$5:$A$80,G11,'07数值索引'!$J$5:$J$80)+SUMIF('07数值索引'!$A$5:$A$80,H11,'07数值索引'!$J$5:$J$80)+SUMIF('07数值索引'!$A$5:$A$80,I11,'07数值索引'!$J$5:$J$80)+SUMIF('07数值索引'!$A$5:$A$80,J11,'07数值索引'!$J$5:$J$80)+SUMIF('07数值索引'!$A$5:$A$80,K11,'07数值索引'!$J$5:$J$80)+SUMIF('07数值索引'!$A$5:$A$80,L11,'07数值索引'!$J$5:$J$80)+SUMIF('07数值索引'!$A$5:$A$80,M11,'07数值索引'!$J$5:$J$80)+SUMIF('07数值索引'!$A$5:$A$80,N11,'07数值索引'!$J$5:$J$80)</f>
        <v>0</v>
      </c>
      <c r="V11" s="8">
        <f>0+SUMIF('07数值索引'!$A$5:$A$80,C11,'07数值索引'!$K$5:$K$80)+SUMIF('07数值索引'!$A$5:$A$80,D11,'07数值索引'!$K$5:$K$80)+SUMIF('07数值索引'!$A$5:$A$80,E11,'07数值索引'!$K$5:$K$80)+SUMIF('07数值索引'!$A$5:$A$80,F11,'07数值索引'!$K$5:$K$80)+SUMIF('07数值索引'!$A$5:$A$80,G11,'07数值索引'!$K$5:$K$80)+SUMIF('07数值索引'!$A$5:$A$80,H11,'07数值索引'!$K$5:$K$80)+SUMIF('07数值索引'!$A$5:$A$80,I11,'07数值索引'!$K$5:$K$80)+SUMIF('07数值索引'!$A$5:$A$80,J11,'07数值索引'!$K$5:$K$80)+SUMIF('07数值索引'!$A$5:$A$80,K11,'07数值索引'!$K$5:$K$80)+SUMIF('07数值索引'!$A$5:$A$80,L11,'07数值索引'!$K$5:$K$80)+SUMIF('07数值索引'!$A$5:$A$80,M11,'07数值索引'!$K$5:$K$80)+SUMIF('07数值索引'!$A$5:$A$80,N11,'07数值索引'!$K$5:$K$80)</f>
        <v>1</v>
      </c>
      <c r="W11" s="8">
        <f>0+SUMIF('07数值索引'!$A$5:$A$80,C11,'07数值索引'!$L$5:$L$80)+SUMIF('07数值索引'!$A$5:$A$80,D11,'07数值索引'!$L$5:$L$80)+SUMIF('07数值索引'!$A$5:$A$80,E11,'07数值索引'!$L$5:$L$80)+SUMIF('07数值索引'!$A$5:$A$80,F11,'07数值索引'!$L$5:$L$80)+SUMIF('07数值索引'!$A$5:$A$80,G11,'07数值索引'!$L$5:$L$80)+SUMIF('07数值索引'!$A$5:$A$80,H11,'07数值索引'!$L$5:$L$80)+SUMIF('07数值索引'!$A$5:$A$80,I11,'07数值索引'!$L$5:$L$80)+SUMIF('07数值索引'!$A$5:$A$80,J11,'07数值索引'!$L$5:$L$80)+SUMIF('07数值索引'!$A$5:$A$80,K11,'07数值索引'!$L$5:$L$80)+SUMIF('07数值索引'!$A$5:$A$80,L11,'07数值索引'!$L$5:$L$80)+SUMIF('07数值索引'!$A$5:$A$80,M11,'07数值索引'!$L$5:$L$80)+SUMIF('07数值索引'!$A$5:$A$80,N11,'07数值索引'!$L$5:$L$80)</f>
        <v>0</v>
      </c>
      <c r="X11" s="8">
        <f>0+SUMIF('07数值索引'!$A$5:$A$80,C11,'07数值索引'!$M$5:$M$80)+SUMIF('07数值索引'!$A$5:$A$80,D11,'07数值索引'!$M$5:$M$80)+SUMIF('07数值索引'!$A$5:$A$80,E11,'07数值索引'!$M$5:$M$80)+SUMIF('07数值索引'!$A$5:$A$80,F11,'07数值索引'!$M$5:$M$80)+SUMIF('07数值索引'!$A$5:$A$80,G11,'07数值索引'!$M$5:$M$80)+SUMIF('07数值索引'!$A$5:$A$80,H11,'07数值索引'!$M$5:$M$80)+SUMIF('07数值索引'!$A$5:$A$80,I11,'07数值索引'!$M$5:$M$80)+SUMIF('07数值索引'!$A$5:$A$80,J11,'07数值索引'!$M$5:$M$80)+SUMIF('07数值索引'!$A$5:$A$80,K11,'07数值索引'!$M$5:$M$80)+SUMIF('07数值索引'!$A$5:$A$80,L11,'07数值索引'!$M$5:$M$80)+SUMIF('07数值索引'!$A$5:$A$80,M11,'07数值索引'!$M$5:$M$80)+SUMIF('07数值索引'!$A$5:$A$80,N11,'07数值索引'!$M$5:$M$80)</f>
        <v>1</v>
      </c>
      <c r="Y11" s="8">
        <f>0+SUMIF('07数值索引'!$A$5:$A$80,C11,'07数值索引'!$N$5:$N$80)+SUMIF('07数值索引'!$A$5:$A$80,D11,'07数值索引'!$N$5:$N$80)+SUMIF('07数值索引'!$A$5:$A$80,E11,'07数值索引'!$N$5:$N$80)+SUMIF('07数值索引'!$A$5:$A$80,F11,'07数值索引'!$N$5:$N$80)+SUMIF('07数值索引'!$A$5:$A$80,G11,'07数值索引'!$N$5:$N$80)+SUMIF('07数值索引'!$A$5:$A$80,H11,'07数值索引'!$N$5:$N$80)+SUMIF('07数值索引'!$A$5:$A$80,I11,'07数值索引'!$N$5:$N$80)+SUMIF('07数值索引'!$A$5:$A$80,J11,'07数值索引'!$N$5:$N$80)+SUMIF('07数值索引'!$A$5:$A$80,K11,'07数值索引'!$N$5:$N$80)+SUMIF('07数值索引'!$A$5:$A$80,L11,'07数值索引'!$N$5:$N$80)+SUMIF('07数值索引'!$A$5:$A$80,M11,'07数值索引'!$N$5:$N$80)+SUMIF('07数值索引'!$A$5:$A$80,N11,'07数值索引'!$N$5:$N$80)</f>
        <v>0</v>
      </c>
      <c r="Z11" s="8">
        <f>0+SUMIF('07数值索引'!$A$5:$A$80,C11,'07数值索引'!$O$5:$O$80)+SUMIF('07数值索引'!$A$5:$A$80,D11,'07数值索引'!$O$5:$O$80)+SUMIF('07数值索引'!$A$5:$A$80,E11,'07数值索引'!$O$5:$O$80)+SUMIF('07数值索引'!$A$5:$A$80,F11,'07数值索引'!$O$5:$O$80)+SUMIF('07数值索引'!$A$5:$A$80,G11,'07数值索引'!$O$5:$O$80)+SUMIF('07数值索引'!$A$5:$A$80,H11,'07数值索引'!$O$5:$O$80)+SUMIF('07数值索引'!$A$5:$A$80,I11,'07数值索引'!$O$5:$O$80)+SUMIF('07数值索引'!$A$5:$A$80,J11,'07数值索引'!$O$5:$O$80)+SUMIF('07数值索引'!$A$5:$A$80,K11,'07数值索引'!$O$5:$O$80)+SUMIF('07数值索引'!$A$5:$A$80,L11,'07数值索引'!$O$5:$O$80)+SUMIF('07数值索引'!$A$5:$A$80,M11,'07数值索引'!$O$5:$O$80)+SUMIF('07数值索引'!$A$5:$A$80,N11,'07数值索引'!$O$5:$O$80)</f>
        <v>0</v>
      </c>
      <c r="AA11" s="8">
        <f>0+SUMIF('07数值索引'!$A$5:$A$80,C11,'07数值索引'!$P$5:$P$80)+SUMIF('07数值索引'!$A$5:$A$80,D11,'07数值索引'!$P$5:$P$80)+SUMIF('07数值索引'!$A$5:$A$80,E11,'07数值索引'!$P$5:$P$80)+SUMIF('07数值索引'!$A$5:$A$80,F11,'07数值索引'!$P$5:$P$80)+SUMIF('07数值索引'!$A$5:$A$80,G11,'07数值索引'!$P$5:$P$80)+SUMIF('07数值索引'!$A$5:$A$80,H11,'07数值索引'!$P$5:$P$80)+SUMIF('07数值索引'!$A$5:$A$80,I11,'07数值索引'!$P$5:$P$80)+SUMIF('07数值索引'!$A$5:$A$80,J11,'07数值索引'!$P$5:$P$80)+SUMIF('07数值索引'!$A$5:$A$80,K11,'07数值索引'!$P$5:$P$80)+SUMIF('07数值索引'!$A$5:$A$80,L11,'07数值索引'!$P$5:$P$80)+SUMIF('07数值索引'!$A$5:$A$80,M11,'07数值索引'!$P$5:$P$80)+SUMIF('07数值索引'!$A$5:$A$80,N11,'07数值索引'!$P$5:$P$80)</f>
        <v>1</v>
      </c>
      <c r="AB11" s="8">
        <f>0+SUMIF('07数值索引'!$A$5:$A$80,C11,'07数值索引'!$Q$5:$Q$80)+SUMIF('07数值索引'!$A$5:$A$80,D11,'07数值索引'!$Q$5:$Q$80)+SUMIF('07数值索引'!$A$5:$A$80,E11,'07数值索引'!$Q$5:$Q$80)+SUMIF('07数值索引'!$A$5:$A$80,F11,'07数值索引'!$Q$5:$Q$80)+SUMIF('07数值索引'!$A$5:$A$80,G11,'07数值索引'!$Q$5:$Q$80)+SUMIF('07数值索引'!$A$5:$A$80,H11,'07数值索引'!$Q$5:$Q$80)+SUMIF('07数值索引'!$A$5:$A$80,I11,'07数值索引'!$Q$5:$Q$80)+SUMIF('07数值索引'!$A$5:$A$80,J11,'07数值索引'!$Q$5:$Q$80)+SUMIF('07数值索引'!$A$5:$A$80,K11,'07数值索引'!$Q$5:$Q$80)+SUMIF('07数值索引'!$A$5:$A$80,L11,'07数值索引'!$Q$5:$Q$80)+SUMIF('07数值索引'!$A$5:$A$80,M11,'07数值索引'!$Q$5:$Q$80)+SUMIF('07数值索引'!$A$5:$A$80,N11,'07数值索引'!$Q$5:$Q$80)</f>
        <v>0</v>
      </c>
      <c r="AC11" s="8">
        <f>0+SUMIF('07数值索引'!$A$5:$A$80,C11,'07数值索引'!$R$5:$R$80)+SUMIF('07数值索引'!$A$5:$A$80,D11,'07数值索引'!$R$5:$R$80)+SUMIF('07数值索引'!$A$5:$A$80,E11,'07数值索引'!$R$5:$R$80)+SUMIF('07数值索引'!$A$5:$A$80,F11,'07数值索引'!$R$5:$R$80)+SUMIF('07数值索引'!$A$5:$A$80,G11,'07数值索引'!$R$5:$R$80)+SUMIF('07数值索引'!$A$5:$A$80,H11,'07数值索引'!$R$5:$R$80)+SUMIF('07数值索引'!$A$5:$A$80,I11,'07数值索引'!$R$5:$R$80)+SUMIF('07数值索引'!$A$5:$A$80,J11,'07数值索引'!$R$5:$R$80)+SUMIF('07数值索引'!$A$5:$A$80,K11,'07数值索引'!$R$5:$R$80)+SUMIF('07数值索引'!$A$5:$A$80,L11,'07数值索引'!$R$5:$R$80)+SUMIF('07数值索引'!$A$5:$A$80,M11,'07数值索引'!$R$5:$R$80)+SUMIF('07数值索引'!$A$5:$A$80,N11,'07数值索引'!$R$5:$R$80)</f>
        <v>0</v>
      </c>
      <c r="AD11" s="8" t="str">
        <f t="shared" si="0"/>
        <v>《最后一次神迹》</v>
      </c>
      <c r="AE11" s="8" t="s">
        <v>532</v>
      </c>
      <c r="AF11" s="8" t="str">
        <f t="shared" si="1"/>
        <v>PASS</v>
      </c>
      <c r="AG11" s="39" t="s">
        <v>686</v>
      </c>
      <c r="AH11" s="8" t="str">
        <f t="shared" si="2"/>
        <v>否</v>
      </c>
      <c r="AI11" s="8" t="str">
        <f>IF(AND(OR(C11="",COUNTIF('07数值索引'!$A$5:$A$80,C11)=1),OR(D11="",COUNTIF('07数值索引'!$A$5:$A$80,D11)=1),OR(E11="",COUNTIF('07数值索引'!$A$5:$A$80,E11)=1),OR(F11="",COUNTIF('07数值索引'!$A$5:$A$80,F11)=1),OR(G11="",COUNTIF('07数值索引'!$A$5:$A$80,G11)=1),OR(H11="",COUNTIF('07数值索引'!$A$5:$A$80,H11)=1),OR(I11="",COUNTIF('07数值索引'!$A$5:$A$80,I11)=1),OR(J11="",COUNTIF('07数值索引'!$A$5:$A$80,J11)=1),OR(K11="",COUNTIF('07数值索引'!$A$5:$A$80,K11)=1),OR(L11="",COUNTIF('07数值索引'!$A$5:$A$80,L11)=1),OR(M11="",COUNTIF('07数值索引'!$A$5:$A$80,M11)=1),OR(N11="",COUNTIF('07数值索引'!$A$5:$A$80,N11)=1)),"PASS","CHECK")</f>
        <v>PASS</v>
      </c>
      <c r="AJ11" s="8" t="str">
        <f>IFERROR(VLOOKUP(A11,'08A前置合法性'!$X$5:$Z$20,3,FALSE),"CHECK")</f>
        <v>PASS</v>
      </c>
      <c r="AK11" s="8" t="str">
        <f t="shared" si="3"/>
        <v>PASS</v>
      </c>
    </row>
    <row r="12" ht="48" customHeight="1" spans="1:37">
      <c r="A12" s="33" t="s">
        <v>687</v>
      </c>
      <c r="B12" s="34" t="s">
        <v>688</v>
      </c>
      <c r="C12" s="34" t="s">
        <v>582</v>
      </c>
      <c r="D12" s="34" t="s">
        <v>150</v>
      </c>
      <c r="E12" s="34" t="s">
        <v>165</v>
      </c>
      <c r="F12" s="34" t="s">
        <v>604</v>
      </c>
      <c r="G12" s="34" t="s">
        <v>689</v>
      </c>
      <c r="H12" s="34" t="s">
        <v>689</v>
      </c>
      <c r="I12" s="34" t="s">
        <v>689</v>
      </c>
      <c r="J12" s="34" t="s">
        <v>689</v>
      </c>
      <c r="K12" s="34" t="s">
        <v>689</v>
      </c>
      <c r="L12" s="34" t="s">
        <v>689</v>
      </c>
      <c r="M12" s="34" t="s">
        <v>689</v>
      </c>
      <c r="N12" s="34" t="s">
        <v>689</v>
      </c>
      <c r="O12" s="35">
        <f>0+SUMIF('07数值索引'!$A$5:$A$80,C12,'07数值索引'!$D$5:$D$80)+SUMIF('07数值索引'!$A$5:$A$80,D12,'07数值索引'!$D$5:$D$80)+SUMIF('07数值索引'!$A$5:$A$80,E12,'07数值索引'!$D$5:$D$80)+SUMIF('07数值索引'!$A$5:$A$80,F12,'07数值索引'!$D$5:$D$80)+SUMIF('07数值索引'!$A$5:$A$80,G12,'07数值索引'!$D$5:$D$80)+SUMIF('07数值索引'!$A$5:$A$80,H12,'07数值索引'!$D$5:$D$80)+SUMIF('07数值索引'!$A$5:$A$80,I12,'07数值索引'!$D$5:$D$80)+SUMIF('07数值索引'!$A$5:$A$80,J12,'07数值索引'!$D$5:$D$80)+SUMIF('07数值索引'!$A$5:$A$80,K12,'07数值索引'!$D$5:$D$80)+SUMIF('07数值索引'!$A$5:$A$80,L12,'07数值索引'!$D$5:$D$80)+SUMIF('07数值索引'!$A$5:$A$80,M12,'07数值索引'!$D$5:$D$80)+SUMIF('07数值索引'!$A$5:$A$80,N12,'07数值索引'!$D$5:$D$80)</f>
        <v>0</v>
      </c>
      <c r="P12" s="35">
        <f>0+SUMIF('07数值索引'!$A$5:$A$80,C12,'07数值索引'!$E$5:$E$80)+SUMIF('07数值索引'!$A$5:$A$80,D12,'07数值索引'!$E$5:$E$80)+SUMIF('07数值索引'!$A$5:$A$80,E12,'07数值索引'!$E$5:$E$80)+SUMIF('07数值索引'!$A$5:$A$80,F12,'07数值索引'!$E$5:$E$80)+SUMIF('07数值索引'!$A$5:$A$80,G12,'07数值索引'!$E$5:$E$80)+SUMIF('07数值索引'!$A$5:$A$80,H12,'07数值索引'!$E$5:$E$80)+SUMIF('07数值索引'!$A$5:$A$80,I12,'07数值索引'!$E$5:$E$80)+SUMIF('07数值索引'!$A$5:$A$80,J12,'07数值索引'!$E$5:$E$80)+SUMIF('07数值索引'!$A$5:$A$80,K12,'07数值索引'!$E$5:$E$80)+SUMIF('07数值索引'!$A$5:$A$80,L12,'07数值索引'!$E$5:$E$80)+SUMIF('07数值索引'!$A$5:$A$80,M12,'07数值索引'!$E$5:$E$80)+SUMIF('07数值索引'!$A$5:$A$80,N12,'07数值索引'!$E$5:$E$80)</f>
        <v>0</v>
      </c>
      <c r="Q12" s="35">
        <f>0+SUMIF('07数值索引'!$A$5:$A$80,C12,'07数值索引'!$F$5:$F$80)+SUMIF('07数值索引'!$A$5:$A$80,D12,'07数值索引'!$F$5:$F$80)+SUMIF('07数值索引'!$A$5:$A$80,E12,'07数值索引'!$F$5:$F$80)+SUMIF('07数值索引'!$A$5:$A$80,F12,'07数值索引'!$F$5:$F$80)+SUMIF('07数值索引'!$A$5:$A$80,G12,'07数值索引'!$F$5:$F$80)+SUMIF('07数值索引'!$A$5:$A$80,H12,'07数值索引'!$F$5:$F$80)+SUMIF('07数值索引'!$A$5:$A$80,I12,'07数值索引'!$F$5:$F$80)+SUMIF('07数值索引'!$A$5:$A$80,J12,'07数值索引'!$F$5:$F$80)+SUMIF('07数值索引'!$A$5:$A$80,K12,'07数值索引'!$F$5:$F$80)+SUMIF('07数值索引'!$A$5:$A$80,L12,'07数值索引'!$F$5:$F$80)+SUMIF('07数值索引'!$A$5:$A$80,M12,'07数值索引'!$F$5:$F$80)+SUMIF('07数值索引'!$A$5:$A$80,N12,'07数值索引'!$F$5:$F$80)</f>
        <v>0</v>
      </c>
      <c r="R12" s="35">
        <f>0+SUMIF('07数值索引'!$A$5:$A$80,C12,'07数值索引'!$G$5:$G$80)+SUMIF('07数值索引'!$A$5:$A$80,D12,'07数值索引'!$G$5:$G$80)+SUMIF('07数值索引'!$A$5:$A$80,E12,'07数值索引'!$G$5:$G$80)+SUMIF('07数值索引'!$A$5:$A$80,F12,'07数值索引'!$G$5:$G$80)+SUMIF('07数值索引'!$A$5:$A$80,G12,'07数值索引'!$G$5:$G$80)+SUMIF('07数值索引'!$A$5:$A$80,H12,'07数值索引'!$G$5:$G$80)+SUMIF('07数值索引'!$A$5:$A$80,I12,'07数值索引'!$G$5:$G$80)+SUMIF('07数值索引'!$A$5:$A$80,J12,'07数值索引'!$G$5:$G$80)+SUMIF('07数值索引'!$A$5:$A$80,K12,'07数值索引'!$G$5:$G$80)+SUMIF('07数值索引'!$A$5:$A$80,L12,'07数值索引'!$G$5:$G$80)+SUMIF('07数值索引'!$A$5:$A$80,M12,'07数值索引'!$G$5:$G$80)+SUMIF('07数值索引'!$A$5:$A$80,N12,'07数值索引'!$G$5:$G$80)</f>
        <v>7</v>
      </c>
      <c r="S12" s="34">
        <f>0+SUMIF('07数值索引'!$A$5:$A$80,C12,'07数值索引'!$H$5:$H$80)+SUMIF('07数值索引'!$A$5:$A$80,D12,'07数值索引'!$H$5:$H$80)+SUMIF('07数值索引'!$A$5:$A$80,E12,'07数值索引'!$H$5:$H$80)+SUMIF('07数值索引'!$A$5:$A$80,F12,'07数值索引'!$H$5:$H$80)+SUMIF('07数值索引'!$A$5:$A$80,G12,'07数值索引'!$H$5:$H$80)+SUMIF('07数值索引'!$A$5:$A$80,H12,'07数值索引'!$H$5:$H$80)+SUMIF('07数值索引'!$A$5:$A$80,I12,'07数值索引'!$H$5:$H$80)+SUMIF('07数值索引'!$A$5:$A$80,J12,'07数值索引'!$H$5:$H$80)+SUMIF('07数值索引'!$A$5:$A$80,K12,'07数值索引'!$H$5:$H$80)+SUMIF('07数值索引'!$A$5:$A$80,L12,'07数值索引'!$H$5:$H$80)+SUMIF('07数值索引'!$A$5:$A$80,M12,'07数值索引'!$H$5:$H$80)+SUMIF('07数值索引'!$A$5:$A$80,N12,'07数值索引'!$H$5:$H$80)</f>
        <v>0</v>
      </c>
      <c r="T12" s="34">
        <f>0+SUMIF('07数值索引'!$A$5:$A$80,C12,'07数值索引'!$I$5:$I$80)+SUMIF('07数值索引'!$A$5:$A$80,D12,'07数值索引'!$I$5:$I$80)+SUMIF('07数值索引'!$A$5:$A$80,E12,'07数值索引'!$I$5:$I$80)+SUMIF('07数值索引'!$A$5:$A$80,F12,'07数值索引'!$I$5:$I$80)+SUMIF('07数值索引'!$A$5:$A$80,G12,'07数值索引'!$I$5:$I$80)+SUMIF('07数值索引'!$A$5:$A$80,H12,'07数值索引'!$I$5:$I$80)+SUMIF('07数值索引'!$A$5:$A$80,I12,'07数值索引'!$I$5:$I$80)+SUMIF('07数值索引'!$A$5:$A$80,J12,'07数值索引'!$I$5:$I$80)+SUMIF('07数值索引'!$A$5:$A$80,K12,'07数值索引'!$I$5:$I$80)+SUMIF('07数值索引'!$A$5:$A$80,L12,'07数值索引'!$I$5:$I$80)+SUMIF('07数值索引'!$A$5:$A$80,M12,'07数值索引'!$I$5:$I$80)+SUMIF('07数值索引'!$A$5:$A$80,N12,'07数值索引'!$I$5:$I$80)</f>
        <v>0</v>
      </c>
      <c r="U12" s="34">
        <f>0+SUMIF('07数值索引'!$A$5:$A$80,C12,'07数值索引'!$J$5:$J$80)+SUMIF('07数值索引'!$A$5:$A$80,D12,'07数值索引'!$J$5:$J$80)+SUMIF('07数值索引'!$A$5:$A$80,E12,'07数值索引'!$J$5:$J$80)+SUMIF('07数值索引'!$A$5:$A$80,F12,'07数值索引'!$J$5:$J$80)+SUMIF('07数值索引'!$A$5:$A$80,G12,'07数值索引'!$J$5:$J$80)+SUMIF('07数值索引'!$A$5:$A$80,H12,'07数值索引'!$J$5:$J$80)+SUMIF('07数值索引'!$A$5:$A$80,I12,'07数值索引'!$J$5:$J$80)+SUMIF('07数值索引'!$A$5:$A$80,J12,'07数值索引'!$J$5:$J$80)+SUMIF('07数值索引'!$A$5:$A$80,K12,'07数值索引'!$J$5:$J$80)+SUMIF('07数值索引'!$A$5:$A$80,L12,'07数值索引'!$J$5:$J$80)+SUMIF('07数值索引'!$A$5:$A$80,M12,'07数值索引'!$J$5:$J$80)+SUMIF('07数值索引'!$A$5:$A$80,N12,'07数值索引'!$J$5:$J$80)</f>
        <v>0</v>
      </c>
      <c r="V12" s="34">
        <f>0+SUMIF('07数值索引'!$A$5:$A$80,C12,'07数值索引'!$K$5:$K$80)+SUMIF('07数值索引'!$A$5:$A$80,D12,'07数值索引'!$K$5:$K$80)+SUMIF('07数值索引'!$A$5:$A$80,E12,'07数值索引'!$K$5:$K$80)+SUMIF('07数值索引'!$A$5:$A$80,F12,'07数值索引'!$K$5:$K$80)+SUMIF('07数值索引'!$A$5:$A$80,G12,'07数值索引'!$K$5:$K$80)+SUMIF('07数值索引'!$A$5:$A$80,H12,'07数值索引'!$K$5:$K$80)+SUMIF('07数值索引'!$A$5:$A$80,I12,'07数值索引'!$K$5:$K$80)+SUMIF('07数值索引'!$A$5:$A$80,J12,'07数值索引'!$K$5:$K$80)+SUMIF('07数值索引'!$A$5:$A$80,K12,'07数值索引'!$K$5:$K$80)+SUMIF('07数值索引'!$A$5:$A$80,L12,'07数值索引'!$K$5:$K$80)+SUMIF('07数值索引'!$A$5:$A$80,M12,'07数值索引'!$K$5:$K$80)+SUMIF('07数值索引'!$A$5:$A$80,N12,'07数值索引'!$K$5:$K$80)</f>
        <v>0</v>
      </c>
      <c r="W12" s="34">
        <f>0+SUMIF('07数值索引'!$A$5:$A$80,C12,'07数值索引'!$L$5:$L$80)+SUMIF('07数值索引'!$A$5:$A$80,D12,'07数值索引'!$L$5:$L$80)+SUMIF('07数值索引'!$A$5:$A$80,E12,'07数值索引'!$L$5:$L$80)+SUMIF('07数值索引'!$A$5:$A$80,F12,'07数值索引'!$L$5:$L$80)+SUMIF('07数值索引'!$A$5:$A$80,G12,'07数值索引'!$L$5:$L$80)+SUMIF('07数值索引'!$A$5:$A$80,H12,'07数值索引'!$L$5:$L$80)+SUMIF('07数值索引'!$A$5:$A$80,I12,'07数值索引'!$L$5:$L$80)+SUMIF('07数值索引'!$A$5:$A$80,J12,'07数值索引'!$L$5:$L$80)+SUMIF('07数值索引'!$A$5:$A$80,K12,'07数值索引'!$L$5:$L$80)+SUMIF('07数值索引'!$A$5:$A$80,L12,'07数值索引'!$L$5:$L$80)+SUMIF('07数值索引'!$A$5:$A$80,M12,'07数值索引'!$L$5:$L$80)+SUMIF('07数值索引'!$A$5:$A$80,N12,'07数值索引'!$L$5:$L$80)</f>
        <v>0</v>
      </c>
      <c r="X12" s="34">
        <f>0+SUMIF('07数值索引'!$A$5:$A$80,C12,'07数值索引'!$M$5:$M$80)+SUMIF('07数值索引'!$A$5:$A$80,D12,'07数值索引'!$M$5:$M$80)+SUMIF('07数值索引'!$A$5:$A$80,E12,'07数值索引'!$M$5:$M$80)+SUMIF('07数值索引'!$A$5:$A$80,F12,'07数值索引'!$M$5:$M$80)+SUMIF('07数值索引'!$A$5:$A$80,G12,'07数值索引'!$M$5:$M$80)+SUMIF('07数值索引'!$A$5:$A$80,H12,'07数值索引'!$M$5:$M$80)+SUMIF('07数值索引'!$A$5:$A$80,I12,'07数值索引'!$M$5:$M$80)+SUMIF('07数值索引'!$A$5:$A$80,J12,'07数值索引'!$M$5:$M$80)+SUMIF('07数值索引'!$A$5:$A$80,K12,'07数值索引'!$M$5:$M$80)+SUMIF('07数值索引'!$A$5:$A$80,L12,'07数值索引'!$M$5:$M$80)+SUMIF('07数值索引'!$A$5:$A$80,M12,'07数值索引'!$M$5:$M$80)+SUMIF('07数值索引'!$A$5:$A$80,N12,'07数值索引'!$M$5:$M$80)</f>
        <v>0</v>
      </c>
      <c r="Y12" s="34">
        <f>0+SUMIF('07数值索引'!$A$5:$A$80,C12,'07数值索引'!$N$5:$N$80)+SUMIF('07数值索引'!$A$5:$A$80,D12,'07数值索引'!$N$5:$N$80)+SUMIF('07数值索引'!$A$5:$A$80,E12,'07数值索引'!$N$5:$N$80)+SUMIF('07数值索引'!$A$5:$A$80,F12,'07数值索引'!$N$5:$N$80)+SUMIF('07数值索引'!$A$5:$A$80,G12,'07数值索引'!$N$5:$N$80)+SUMIF('07数值索引'!$A$5:$A$80,H12,'07数值索引'!$N$5:$N$80)+SUMIF('07数值索引'!$A$5:$A$80,I12,'07数值索引'!$N$5:$N$80)+SUMIF('07数值索引'!$A$5:$A$80,J12,'07数值索引'!$N$5:$N$80)+SUMIF('07数值索引'!$A$5:$A$80,K12,'07数值索引'!$N$5:$N$80)+SUMIF('07数值索引'!$A$5:$A$80,L12,'07数值索引'!$N$5:$N$80)+SUMIF('07数值索引'!$A$5:$A$80,M12,'07数值索引'!$N$5:$N$80)+SUMIF('07数值索引'!$A$5:$A$80,N12,'07数值索引'!$N$5:$N$80)</f>
        <v>0</v>
      </c>
      <c r="Z12" s="34">
        <f>0+SUMIF('07数值索引'!$A$5:$A$80,C12,'07数值索引'!$O$5:$O$80)+SUMIF('07数值索引'!$A$5:$A$80,D12,'07数值索引'!$O$5:$O$80)+SUMIF('07数值索引'!$A$5:$A$80,E12,'07数值索引'!$O$5:$O$80)+SUMIF('07数值索引'!$A$5:$A$80,F12,'07数值索引'!$O$5:$O$80)+SUMIF('07数值索引'!$A$5:$A$80,G12,'07数值索引'!$O$5:$O$80)+SUMIF('07数值索引'!$A$5:$A$80,H12,'07数值索引'!$O$5:$O$80)+SUMIF('07数值索引'!$A$5:$A$80,I12,'07数值索引'!$O$5:$O$80)+SUMIF('07数值索引'!$A$5:$A$80,J12,'07数值索引'!$O$5:$O$80)+SUMIF('07数值索引'!$A$5:$A$80,K12,'07数值索引'!$O$5:$O$80)+SUMIF('07数值索引'!$A$5:$A$80,L12,'07数值索引'!$O$5:$O$80)+SUMIF('07数值索引'!$A$5:$A$80,M12,'07数值索引'!$O$5:$O$80)+SUMIF('07数值索引'!$A$5:$A$80,N12,'07数值索引'!$O$5:$O$80)</f>
        <v>0</v>
      </c>
      <c r="AA12" s="34">
        <f>0+SUMIF('07数值索引'!$A$5:$A$80,C12,'07数值索引'!$P$5:$P$80)+SUMIF('07数值索引'!$A$5:$A$80,D12,'07数值索引'!$P$5:$P$80)+SUMIF('07数值索引'!$A$5:$A$80,E12,'07数值索引'!$P$5:$P$80)+SUMIF('07数值索引'!$A$5:$A$80,F12,'07数值索引'!$P$5:$P$80)+SUMIF('07数值索引'!$A$5:$A$80,G12,'07数值索引'!$P$5:$P$80)+SUMIF('07数值索引'!$A$5:$A$80,H12,'07数值索引'!$P$5:$P$80)+SUMIF('07数值索引'!$A$5:$A$80,I12,'07数值索引'!$P$5:$P$80)+SUMIF('07数值索引'!$A$5:$A$80,J12,'07数值索引'!$P$5:$P$80)+SUMIF('07数值索引'!$A$5:$A$80,K12,'07数值索引'!$P$5:$P$80)+SUMIF('07数值索引'!$A$5:$A$80,L12,'07数值索引'!$P$5:$P$80)+SUMIF('07数值索引'!$A$5:$A$80,M12,'07数值索引'!$P$5:$P$80)+SUMIF('07数值索引'!$A$5:$A$80,N12,'07数值索引'!$P$5:$P$80)</f>
        <v>0</v>
      </c>
      <c r="AB12" s="34">
        <f>0+SUMIF('07数值索引'!$A$5:$A$80,C12,'07数值索引'!$Q$5:$Q$80)+SUMIF('07数值索引'!$A$5:$A$80,D12,'07数值索引'!$Q$5:$Q$80)+SUMIF('07数值索引'!$A$5:$A$80,E12,'07数值索引'!$Q$5:$Q$80)+SUMIF('07数值索引'!$A$5:$A$80,F12,'07数值索引'!$Q$5:$Q$80)+SUMIF('07数值索引'!$A$5:$A$80,G12,'07数值索引'!$Q$5:$Q$80)+SUMIF('07数值索引'!$A$5:$A$80,H12,'07数值索引'!$Q$5:$Q$80)+SUMIF('07数值索引'!$A$5:$A$80,I12,'07数值索引'!$Q$5:$Q$80)+SUMIF('07数值索引'!$A$5:$A$80,J12,'07数值索引'!$Q$5:$Q$80)+SUMIF('07数值索引'!$A$5:$A$80,K12,'07数值索引'!$Q$5:$Q$80)+SUMIF('07数值索引'!$A$5:$A$80,L12,'07数值索引'!$Q$5:$Q$80)+SUMIF('07数值索引'!$A$5:$A$80,M12,'07数值索引'!$Q$5:$Q$80)+SUMIF('07数值索引'!$A$5:$A$80,N12,'07数值索引'!$Q$5:$Q$80)</f>
        <v>0</v>
      </c>
      <c r="AC12" s="34">
        <f>0+SUMIF('07数值索引'!$A$5:$A$80,C12,'07数值索引'!$R$5:$R$80)+SUMIF('07数值索引'!$A$5:$A$80,D12,'07数值索引'!$R$5:$R$80)+SUMIF('07数值索引'!$A$5:$A$80,E12,'07数值索引'!$R$5:$R$80)+SUMIF('07数值索引'!$A$5:$A$80,F12,'07数值索引'!$R$5:$R$80)+SUMIF('07数值索引'!$A$5:$A$80,G12,'07数值索引'!$R$5:$R$80)+SUMIF('07数值索引'!$A$5:$A$80,H12,'07数值索引'!$R$5:$R$80)+SUMIF('07数值索引'!$A$5:$A$80,I12,'07数值索引'!$R$5:$R$80)+SUMIF('07数值索引'!$A$5:$A$80,J12,'07数值索引'!$R$5:$R$80)+SUMIF('07数值索引'!$A$5:$A$80,K12,'07数值索引'!$R$5:$R$80)+SUMIF('07数值索引'!$A$5:$A$80,L12,'07数值索引'!$R$5:$R$80)+SUMIF('07数值索引'!$A$5:$A$80,M12,'07数值索引'!$R$5:$R$80)+SUMIF('07数值索引'!$A$5:$A$80,N12,'07数值索引'!$R$5:$R$80)</f>
        <v>1</v>
      </c>
      <c r="AD12" s="34" t="str">
        <f t="shared" si="0"/>
        <v>《无名尸体》</v>
      </c>
      <c r="AE12" s="34" t="s">
        <v>520</v>
      </c>
      <c r="AF12" s="34" t="str">
        <f t="shared" si="1"/>
        <v>PASS</v>
      </c>
      <c r="AG12" s="36" t="s">
        <v>690</v>
      </c>
      <c r="AH12" s="8" t="str">
        <f t="shared" si="2"/>
        <v>否</v>
      </c>
      <c r="AI12" s="8" t="str">
        <f>IF(AND(OR(C12="",COUNTIF('07数值索引'!$A$5:$A$80,C12)=1),OR(D12="",COUNTIF('07数值索引'!$A$5:$A$80,D12)=1),OR(E12="",COUNTIF('07数值索引'!$A$5:$A$80,E12)=1),OR(F12="",COUNTIF('07数值索引'!$A$5:$A$80,F12)=1),OR(G12="",COUNTIF('07数值索引'!$A$5:$A$80,G12)=1),OR(H12="",COUNTIF('07数值索引'!$A$5:$A$80,H12)=1),OR(I12="",COUNTIF('07数值索引'!$A$5:$A$80,I12)=1),OR(J12="",COUNTIF('07数值索引'!$A$5:$A$80,J12)=1),OR(K12="",COUNTIF('07数值索引'!$A$5:$A$80,K12)=1),OR(L12="",COUNTIF('07数值索引'!$A$5:$A$80,L12)=1),OR(M12="",COUNTIF('07数值索引'!$A$5:$A$80,M12)=1),OR(N12="",COUNTIF('07数值索引'!$A$5:$A$80,N12)=1)),"PASS","CHECK")</f>
        <v>PASS</v>
      </c>
      <c r="AJ12" s="8" t="str">
        <f>IFERROR(VLOOKUP(A12,'08A前置合法性'!$X$5:$Z$20,3,FALSE),"CHECK")</f>
        <v>PASS</v>
      </c>
      <c r="AK12" s="8" t="str">
        <f t="shared" si="3"/>
        <v>PASS</v>
      </c>
    </row>
    <row r="13" ht="48" customHeight="1" spans="1:37">
      <c r="A13" s="37" t="s">
        <v>691</v>
      </c>
      <c r="B13" s="8" t="s">
        <v>692</v>
      </c>
      <c r="C13" s="8" t="s">
        <v>582</v>
      </c>
      <c r="D13" s="8" t="s">
        <v>155</v>
      </c>
      <c r="E13" s="8" t="s">
        <v>165</v>
      </c>
      <c r="F13" s="8" t="s">
        <v>265</v>
      </c>
      <c r="G13" s="8" t="s">
        <v>187</v>
      </c>
      <c r="H13" s="8" t="s">
        <v>197</v>
      </c>
      <c r="I13" s="8" t="s">
        <v>441</v>
      </c>
      <c r="J13" s="8" t="s">
        <v>467</v>
      </c>
      <c r="K13" s="8" t="s">
        <v>476</v>
      </c>
      <c r="L13" s="8" t="s">
        <v>487</v>
      </c>
      <c r="M13" s="8" t="s">
        <v>636</v>
      </c>
      <c r="N13" s="8" t="s">
        <v>222</v>
      </c>
      <c r="O13" s="8">
        <f>0+SUMIF('07数值索引'!$A$5:$A$80,C13,'07数值索引'!$D$5:$D$80)+SUMIF('07数值索引'!$A$5:$A$80,D13,'07数值索引'!$D$5:$D$80)+SUMIF('07数值索引'!$A$5:$A$80,E13,'07数值索引'!$D$5:$D$80)+SUMIF('07数值索引'!$A$5:$A$80,F13,'07数值索引'!$D$5:$D$80)+SUMIF('07数值索引'!$A$5:$A$80,G13,'07数值索引'!$D$5:$D$80)+SUMIF('07数值索引'!$A$5:$A$80,H13,'07数值索引'!$D$5:$D$80)+SUMIF('07数值索引'!$A$5:$A$80,I13,'07数值索引'!$D$5:$D$80)+SUMIF('07数值索引'!$A$5:$A$80,J13,'07数值索引'!$D$5:$D$80)+SUMIF('07数值索引'!$A$5:$A$80,K13,'07数值索引'!$D$5:$D$80)+SUMIF('07数值索引'!$A$5:$A$80,L13,'07数值索引'!$D$5:$D$80)+SUMIF('07数值索引'!$A$5:$A$80,M13,'07数值索引'!$D$5:$D$80)+SUMIF('07数值索引'!$A$5:$A$80,N13,'07数值索引'!$D$5:$D$80)</f>
        <v>-1</v>
      </c>
      <c r="P13" s="8">
        <f>0+SUMIF('07数值索引'!$A$5:$A$80,C13,'07数值索引'!$E$5:$E$80)+SUMIF('07数值索引'!$A$5:$A$80,D13,'07数值索引'!$E$5:$E$80)+SUMIF('07数值索引'!$A$5:$A$80,E13,'07数值索引'!$E$5:$E$80)+SUMIF('07数值索引'!$A$5:$A$80,F13,'07数值索引'!$E$5:$E$80)+SUMIF('07数值索引'!$A$5:$A$80,G13,'07数值索引'!$E$5:$E$80)+SUMIF('07数值索引'!$A$5:$A$80,H13,'07数值索引'!$E$5:$E$80)+SUMIF('07数值索引'!$A$5:$A$80,I13,'07数值索引'!$E$5:$E$80)+SUMIF('07数值索引'!$A$5:$A$80,J13,'07数值索引'!$E$5:$E$80)+SUMIF('07数值索引'!$A$5:$A$80,K13,'07数值索引'!$E$5:$E$80)+SUMIF('07数值索引'!$A$5:$A$80,L13,'07数值索引'!$E$5:$E$80)+SUMIF('07数值索引'!$A$5:$A$80,M13,'07数值索引'!$E$5:$E$80)+SUMIF('07数值索引'!$A$5:$A$80,N13,'07数值索引'!$E$5:$E$80)</f>
        <v>1</v>
      </c>
      <c r="Q13" s="8">
        <f>0+SUMIF('07数值索引'!$A$5:$A$80,C13,'07数值索引'!$F$5:$F$80)+SUMIF('07数值索引'!$A$5:$A$80,D13,'07数值索引'!$F$5:$F$80)+SUMIF('07数值索引'!$A$5:$A$80,E13,'07数值索引'!$F$5:$F$80)+SUMIF('07数值索引'!$A$5:$A$80,F13,'07数值索引'!$F$5:$F$80)+SUMIF('07数值索引'!$A$5:$A$80,G13,'07数值索引'!$F$5:$F$80)+SUMIF('07数值索引'!$A$5:$A$80,H13,'07数值索引'!$F$5:$F$80)+SUMIF('07数值索引'!$A$5:$A$80,I13,'07数值索引'!$F$5:$F$80)+SUMIF('07数值索引'!$A$5:$A$80,J13,'07数值索引'!$F$5:$F$80)+SUMIF('07数值索引'!$A$5:$A$80,K13,'07数值索引'!$F$5:$F$80)+SUMIF('07数值索引'!$A$5:$A$80,L13,'07数值索引'!$F$5:$F$80)+SUMIF('07数值索引'!$A$5:$A$80,M13,'07数值索引'!$F$5:$F$80)+SUMIF('07数值索引'!$A$5:$A$80,N13,'07数值索引'!$F$5:$F$80)</f>
        <v>-2</v>
      </c>
      <c r="R13" s="8">
        <f>0+SUMIF('07数值索引'!$A$5:$A$80,C13,'07数值索引'!$G$5:$G$80)+SUMIF('07数值索引'!$A$5:$A$80,D13,'07数值索引'!$G$5:$G$80)+SUMIF('07数值索引'!$A$5:$A$80,E13,'07数值索引'!$G$5:$G$80)+SUMIF('07数值索引'!$A$5:$A$80,F13,'07数值索引'!$G$5:$G$80)+SUMIF('07数值索引'!$A$5:$A$80,G13,'07数值索引'!$G$5:$G$80)+SUMIF('07数值索引'!$A$5:$A$80,H13,'07数值索引'!$G$5:$G$80)+SUMIF('07数值索引'!$A$5:$A$80,I13,'07数值索引'!$G$5:$G$80)+SUMIF('07数值索引'!$A$5:$A$80,J13,'07数值索引'!$G$5:$G$80)+SUMIF('07数值索引'!$A$5:$A$80,K13,'07数值索引'!$G$5:$G$80)+SUMIF('07数值索引'!$A$5:$A$80,L13,'07数值索引'!$G$5:$G$80)+SUMIF('07数值索引'!$A$5:$A$80,M13,'07数值索引'!$G$5:$G$80)+SUMIF('07数值索引'!$A$5:$A$80,N13,'07数值索引'!$G$5:$G$80)</f>
        <v>4</v>
      </c>
      <c r="S13" s="8">
        <f>0+SUMIF('07数值索引'!$A$5:$A$80,C13,'07数值索引'!$H$5:$H$80)+SUMIF('07数值索引'!$A$5:$A$80,D13,'07数值索引'!$H$5:$H$80)+SUMIF('07数值索引'!$A$5:$A$80,E13,'07数值索引'!$H$5:$H$80)+SUMIF('07数值索引'!$A$5:$A$80,F13,'07数值索引'!$H$5:$H$80)+SUMIF('07数值索引'!$A$5:$A$80,G13,'07数值索引'!$H$5:$H$80)+SUMIF('07数值索引'!$A$5:$A$80,H13,'07数值索引'!$H$5:$H$80)+SUMIF('07数值索引'!$A$5:$A$80,I13,'07数值索引'!$H$5:$H$80)+SUMIF('07数值索引'!$A$5:$A$80,J13,'07数值索引'!$H$5:$H$80)+SUMIF('07数值索引'!$A$5:$A$80,K13,'07数值索引'!$H$5:$H$80)+SUMIF('07数值索引'!$A$5:$A$80,L13,'07数值索引'!$H$5:$H$80)+SUMIF('07数值索引'!$A$5:$A$80,M13,'07数值索引'!$H$5:$H$80)+SUMIF('07数值索引'!$A$5:$A$80,N13,'07数值索引'!$H$5:$H$80)</f>
        <v>1</v>
      </c>
      <c r="T13" s="8">
        <f>0+SUMIF('07数值索引'!$A$5:$A$80,C13,'07数值索引'!$I$5:$I$80)+SUMIF('07数值索引'!$A$5:$A$80,D13,'07数值索引'!$I$5:$I$80)+SUMIF('07数值索引'!$A$5:$A$80,E13,'07数值索引'!$I$5:$I$80)+SUMIF('07数值索引'!$A$5:$A$80,F13,'07数值索引'!$I$5:$I$80)+SUMIF('07数值索引'!$A$5:$A$80,G13,'07数值索引'!$I$5:$I$80)+SUMIF('07数值索引'!$A$5:$A$80,H13,'07数值索引'!$I$5:$I$80)+SUMIF('07数值索引'!$A$5:$A$80,I13,'07数值索引'!$I$5:$I$80)+SUMIF('07数值索引'!$A$5:$A$80,J13,'07数值索引'!$I$5:$I$80)+SUMIF('07数值索引'!$A$5:$A$80,K13,'07数值索引'!$I$5:$I$80)+SUMIF('07数值索引'!$A$5:$A$80,L13,'07数值索引'!$I$5:$I$80)+SUMIF('07数值索引'!$A$5:$A$80,M13,'07数值索引'!$I$5:$I$80)+SUMIF('07数值索引'!$A$5:$A$80,N13,'07数值索引'!$I$5:$I$80)</f>
        <v>1</v>
      </c>
      <c r="U13" s="8">
        <f>0+SUMIF('07数值索引'!$A$5:$A$80,C13,'07数值索引'!$J$5:$J$80)+SUMIF('07数值索引'!$A$5:$A$80,D13,'07数值索引'!$J$5:$J$80)+SUMIF('07数值索引'!$A$5:$A$80,E13,'07数值索引'!$J$5:$J$80)+SUMIF('07数值索引'!$A$5:$A$80,F13,'07数值索引'!$J$5:$J$80)+SUMIF('07数值索引'!$A$5:$A$80,G13,'07数值索引'!$J$5:$J$80)+SUMIF('07数值索引'!$A$5:$A$80,H13,'07数值索引'!$J$5:$J$80)+SUMIF('07数值索引'!$A$5:$A$80,I13,'07数值索引'!$J$5:$J$80)+SUMIF('07数值索引'!$A$5:$A$80,J13,'07数值索引'!$J$5:$J$80)+SUMIF('07数值索引'!$A$5:$A$80,K13,'07数值索引'!$J$5:$J$80)+SUMIF('07数值索引'!$A$5:$A$80,L13,'07数值索引'!$J$5:$J$80)+SUMIF('07数值索引'!$A$5:$A$80,M13,'07数值索引'!$J$5:$J$80)+SUMIF('07数值索引'!$A$5:$A$80,N13,'07数值索引'!$J$5:$J$80)</f>
        <v>1</v>
      </c>
      <c r="V13" s="8">
        <f>0+SUMIF('07数值索引'!$A$5:$A$80,C13,'07数值索引'!$K$5:$K$80)+SUMIF('07数值索引'!$A$5:$A$80,D13,'07数值索引'!$K$5:$K$80)+SUMIF('07数值索引'!$A$5:$A$80,E13,'07数值索引'!$K$5:$K$80)+SUMIF('07数值索引'!$A$5:$A$80,F13,'07数值索引'!$K$5:$K$80)+SUMIF('07数值索引'!$A$5:$A$80,G13,'07数值索引'!$K$5:$K$80)+SUMIF('07数值索引'!$A$5:$A$80,H13,'07数值索引'!$K$5:$K$80)+SUMIF('07数值索引'!$A$5:$A$80,I13,'07数值索引'!$K$5:$K$80)+SUMIF('07数值索引'!$A$5:$A$80,J13,'07数值索引'!$K$5:$K$80)+SUMIF('07数值索引'!$A$5:$A$80,K13,'07数值索引'!$K$5:$K$80)+SUMIF('07数值索引'!$A$5:$A$80,L13,'07数值索引'!$K$5:$K$80)+SUMIF('07数值索引'!$A$5:$A$80,M13,'07数值索引'!$K$5:$K$80)+SUMIF('07数值索引'!$A$5:$A$80,N13,'07数值索引'!$K$5:$K$80)</f>
        <v>0</v>
      </c>
      <c r="W13" s="8">
        <f>0+SUMIF('07数值索引'!$A$5:$A$80,C13,'07数值索引'!$L$5:$L$80)+SUMIF('07数值索引'!$A$5:$A$80,D13,'07数值索引'!$L$5:$L$80)+SUMIF('07数值索引'!$A$5:$A$80,E13,'07数值索引'!$L$5:$L$80)+SUMIF('07数值索引'!$A$5:$A$80,F13,'07数值索引'!$L$5:$L$80)+SUMIF('07数值索引'!$A$5:$A$80,G13,'07数值索引'!$L$5:$L$80)+SUMIF('07数值索引'!$A$5:$A$80,H13,'07数值索引'!$L$5:$L$80)+SUMIF('07数值索引'!$A$5:$A$80,I13,'07数值索引'!$L$5:$L$80)+SUMIF('07数值索引'!$A$5:$A$80,J13,'07数值索引'!$L$5:$L$80)+SUMIF('07数值索引'!$A$5:$A$80,K13,'07数值索引'!$L$5:$L$80)+SUMIF('07数值索引'!$A$5:$A$80,L13,'07数值索引'!$L$5:$L$80)+SUMIF('07数值索引'!$A$5:$A$80,M13,'07数值索引'!$L$5:$L$80)+SUMIF('07数值索引'!$A$5:$A$80,N13,'07数值索引'!$L$5:$L$80)</f>
        <v>0</v>
      </c>
      <c r="X13" s="8">
        <f>0+SUMIF('07数值索引'!$A$5:$A$80,C13,'07数值索引'!$M$5:$M$80)+SUMIF('07数值索引'!$A$5:$A$80,D13,'07数值索引'!$M$5:$M$80)+SUMIF('07数值索引'!$A$5:$A$80,E13,'07数值索引'!$M$5:$M$80)+SUMIF('07数值索引'!$A$5:$A$80,F13,'07数值索引'!$M$5:$M$80)+SUMIF('07数值索引'!$A$5:$A$80,G13,'07数值索引'!$M$5:$M$80)+SUMIF('07数值索引'!$A$5:$A$80,H13,'07数值索引'!$M$5:$M$80)+SUMIF('07数值索引'!$A$5:$A$80,I13,'07数值索引'!$M$5:$M$80)+SUMIF('07数值索引'!$A$5:$A$80,J13,'07数值索引'!$M$5:$M$80)+SUMIF('07数值索引'!$A$5:$A$80,K13,'07数值索引'!$M$5:$M$80)+SUMIF('07数值索引'!$A$5:$A$80,L13,'07数值索引'!$M$5:$M$80)+SUMIF('07数值索引'!$A$5:$A$80,M13,'07数值索引'!$M$5:$M$80)+SUMIF('07数值索引'!$A$5:$A$80,N13,'07数值索引'!$M$5:$M$80)</f>
        <v>0</v>
      </c>
      <c r="Y13" s="8">
        <f>0+SUMIF('07数值索引'!$A$5:$A$80,C13,'07数值索引'!$N$5:$N$80)+SUMIF('07数值索引'!$A$5:$A$80,D13,'07数值索引'!$N$5:$N$80)+SUMIF('07数值索引'!$A$5:$A$80,E13,'07数值索引'!$N$5:$N$80)+SUMIF('07数值索引'!$A$5:$A$80,F13,'07数值索引'!$N$5:$N$80)+SUMIF('07数值索引'!$A$5:$A$80,G13,'07数值索引'!$N$5:$N$80)+SUMIF('07数值索引'!$A$5:$A$80,H13,'07数值索引'!$N$5:$N$80)+SUMIF('07数值索引'!$A$5:$A$80,I13,'07数值索引'!$N$5:$N$80)+SUMIF('07数值索引'!$A$5:$A$80,J13,'07数值索引'!$N$5:$N$80)+SUMIF('07数值索引'!$A$5:$A$80,K13,'07数值索引'!$N$5:$N$80)+SUMIF('07数值索引'!$A$5:$A$80,L13,'07数值索引'!$N$5:$N$80)+SUMIF('07数值索引'!$A$5:$A$80,M13,'07数值索引'!$N$5:$N$80)+SUMIF('07数值索引'!$A$5:$A$80,N13,'07数值索引'!$N$5:$N$80)</f>
        <v>0</v>
      </c>
      <c r="Z13" s="8">
        <f>0+SUMIF('07数值索引'!$A$5:$A$80,C13,'07数值索引'!$O$5:$O$80)+SUMIF('07数值索引'!$A$5:$A$80,D13,'07数值索引'!$O$5:$O$80)+SUMIF('07数值索引'!$A$5:$A$80,E13,'07数值索引'!$O$5:$O$80)+SUMIF('07数值索引'!$A$5:$A$80,F13,'07数值索引'!$O$5:$O$80)+SUMIF('07数值索引'!$A$5:$A$80,G13,'07数值索引'!$O$5:$O$80)+SUMIF('07数值索引'!$A$5:$A$80,H13,'07数值索引'!$O$5:$O$80)+SUMIF('07数值索引'!$A$5:$A$80,I13,'07数值索引'!$O$5:$O$80)+SUMIF('07数值索引'!$A$5:$A$80,J13,'07数值索引'!$O$5:$O$80)+SUMIF('07数值索引'!$A$5:$A$80,K13,'07数值索引'!$O$5:$O$80)+SUMIF('07数值索引'!$A$5:$A$80,L13,'07数值索引'!$O$5:$O$80)+SUMIF('07数值索引'!$A$5:$A$80,M13,'07数值索引'!$O$5:$O$80)+SUMIF('07数值索引'!$A$5:$A$80,N13,'07数值索引'!$O$5:$O$80)</f>
        <v>0</v>
      </c>
      <c r="AA13" s="8">
        <f>0+SUMIF('07数值索引'!$A$5:$A$80,C13,'07数值索引'!$P$5:$P$80)+SUMIF('07数值索引'!$A$5:$A$80,D13,'07数值索引'!$P$5:$P$80)+SUMIF('07数值索引'!$A$5:$A$80,E13,'07数值索引'!$P$5:$P$80)+SUMIF('07数值索引'!$A$5:$A$80,F13,'07数值索引'!$P$5:$P$80)+SUMIF('07数值索引'!$A$5:$A$80,G13,'07数值索引'!$P$5:$P$80)+SUMIF('07数值索引'!$A$5:$A$80,H13,'07数值索引'!$P$5:$P$80)+SUMIF('07数值索引'!$A$5:$A$80,I13,'07数值索引'!$P$5:$P$80)+SUMIF('07数值索引'!$A$5:$A$80,J13,'07数值索引'!$P$5:$P$80)+SUMIF('07数值索引'!$A$5:$A$80,K13,'07数值索引'!$P$5:$P$80)+SUMIF('07数值索引'!$A$5:$A$80,L13,'07数值索引'!$P$5:$P$80)+SUMIF('07数值索引'!$A$5:$A$80,M13,'07数值索引'!$P$5:$P$80)+SUMIF('07数值索引'!$A$5:$A$80,N13,'07数值索引'!$P$5:$P$80)</f>
        <v>0</v>
      </c>
      <c r="AB13" s="8">
        <f>0+SUMIF('07数值索引'!$A$5:$A$80,C13,'07数值索引'!$Q$5:$Q$80)+SUMIF('07数值索引'!$A$5:$A$80,D13,'07数值索引'!$Q$5:$Q$80)+SUMIF('07数值索引'!$A$5:$A$80,E13,'07数值索引'!$Q$5:$Q$80)+SUMIF('07数值索引'!$A$5:$A$80,F13,'07数值索引'!$Q$5:$Q$80)+SUMIF('07数值索引'!$A$5:$A$80,G13,'07数值索引'!$Q$5:$Q$80)+SUMIF('07数值索引'!$A$5:$A$80,H13,'07数值索引'!$Q$5:$Q$80)+SUMIF('07数值索引'!$A$5:$A$80,I13,'07数值索引'!$Q$5:$Q$80)+SUMIF('07数值索引'!$A$5:$A$80,J13,'07数值索引'!$Q$5:$Q$80)+SUMIF('07数值索引'!$A$5:$A$80,K13,'07数值索引'!$Q$5:$Q$80)+SUMIF('07数值索引'!$A$5:$A$80,L13,'07数值索引'!$Q$5:$Q$80)+SUMIF('07数值索引'!$A$5:$A$80,M13,'07数值索引'!$Q$5:$Q$80)+SUMIF('07数值索引'!$A$5:$A$80,N13,'07数值索引'!$Q$5:$Q$80)</f>
        <v>1</v>
      </c>
      <c r="AC13" s="8">
        <f>0+SUMIF('07数值索引'!$A$5:$A$80,C13,'07数值索引'!$R$5:$R$80)+SUMIF('07数值索引'!$A$5:$A$80,D13,'07数值索引'!$R$5:$R$80)+SUMIF('07数值索引'!$A$5:$A$80,E13,'07数值索引'!$R$5:$R$80)+SUMIF('07数值索引'!$A$5:$A$80,F13,'07数值索引'!$R$5:$R$80)+SUMIF('07数值索引'!$A$5:$A$80,G13,'07数值索引'!$R$5:$R$80)+SUMIF('07数值索引'!$A$5:$A$80,H13,'07数值索引'!$R$5:$R$80)+SUMIF('07数值索引'!$A$5:$A$80,I13,'07数值索引'!$R$5:$R$80)+SUMIF('07数值索引'!$A$5:$A$80,J13,'07数值索引'!$R$5:$R$80)+SUMIF('07数值索引'!$A$5:$A$80,K13,'07数值索引'!$R$5:$R$80)+SUMIF('07数值索引'!$A$5:$A$80,L13,'07数值索引'!$R$5:$R$80)+SUMIF('07数值索引'!$A$5:$A$80,M13,'07数值索引'!$R$5:$R$80)+SUMIF('07数值索引'!$A$5:$A$80,N13,'07数值索引'!$R$5:$R$80)</f>
        <v>0</v>
      </c>
      <c r="AD13" s="8" t="str">
        <f t="shared" si="0"/>
        <v>《逃避》</v>
      </c>
      <c r="AE13" s="8" t="s">
        <v>555</v>
      </c>
      <c r="AF13" s="8" t="str">
        <f t="shared" si="1"/>
        <v>PASS</v>
      </c>
      <c r="AG13" s="8" t="s">
        <v>693</v>
      </c>
      <c r="AH13" s="8" t="str">
        <f t="shared" si="2"/>
        <v>否</v>
      </c>
      <c r="AI13" s="8" t="str">
        <f>IF(AND(OR(C13="",COUNTIF('07数值索引'!$A$5:$A$80,C13)=1),OR(D13="",COUNTIF('07数值索引'!$A$5:$A$80,D13)=1),OR(E13="",COUNTIF('07数值索引'!$A$5:$A$80,E13)=1),OR(F13="",COUNTIF('07数值索引'!$A$5:$A$80,F13)=1),OR(G13="",COUNTIF('07数值索引'!$A$5:$A$80,G13)=1),OR(H13="",COUNTIF('07数值索引'!$A$5:$A$80,H13)=1),OR(I13="",COUNTIF('07数值索引'!$A$5:$A$80,I13)=1),OR(J13="",COUNTIF('07数值索引'!$A$5:$A$80,J13)=1),OR(K13="",COUNTIF('07数值索引'!$A$5:$A$80,K13)=1),OR(L13="",COUNTIF('07数值索引'!$A$5:$A$80,L13)=1),OR(M13="",COUNTIF('07数值索引'!$A$5:$A$80,M13)=1),OR(N13="",COUNTIF('07数值索引'!$A$5:$A$80,N13)=1)),"PASS","CHECK")</f>
        <v>PASS</v>
      </c>
      <c r="AJ13" s="8" t="str">
        <f>IFERROR(VLOOKUP(A13,'08A前置合法性'!$X$5:$Z$20,3,FALSE),"CHECK")</f>
        <v>PASS</v>
      </c>
      <c r="AK13" s="8" t="str">
        <f t="shared" si="3"/>
        <v>PASS</v>
      </c>
    </row>
    <row r="14" ht="48" customHeight="1" spans="1:37">
      <c r="A14" s="37" t="s">
        <v>694</v>
      </c>
      <c r="B14" s="8" t="s">
        <v>695</v>
      </c>
      <c r="C14" s="8" t="s">
        <v>582</v>
      </c>
      <c r="D14" s="8" t="s">
        <v>144</v>
      </c>
      <c r="E14" s="8" t="s">
        <v>169</v>
      </c>
      <c r="F14" s="8" t="s">
        <v>257</v>
      </c>
      <c r="G14" s="8" t="s">
        <v>187</v>
      </c>
      <c r="H14" s="8" t="s">
        <v>197</v>
      </c>
      <c r="I14" s="8" t="s">
        <v>450</v>
      </c>
      <c r="J14" s="8" t="s">
        <v>467</v>
      </c>
      <c r="K14" s="8" t="s">
        <v>469</v>
      </c>
      <c r="L14" s="8" t="s">
        <v>484</v>
      </c>
      <c r="M14" s="8" t="s">
        <v>586</v>
      </c>
      <c r="N14" s="8" t="s">
        <v>218</v>
      </c>
      <c r="O14" s="8">
        <f>0+SUMIF('07数值索引'!$A$5:$A$80,C14,'07数值索引'!$D$5:$D$80)+SUMIF('07数值索引'!$A$5:$A$80,D14,'07数值索引'!$D$5:$D$80)+SUMIF('07数值索引'!$A$5:$A$80,E14,'07数值索引'!$D$5:$D$80)+SUMIF('07数值索引'!$A$5:$A$80,F14,'07数值索引'!$D$5:$D$80)+SUMIF('07数值索引'!$A$5:$A$80,G14,'07数值索引'!$D$5:$D$80)+SUMIF('07数值索引'!$A$5:$A$80,H14,'07数值索引'!$D$5:$D$80)+SUMIF('07数值索引'!$A$5:$A$80,I14,'07数值索引'!$D$5:$D$80)+SUMIF('07数值索引'!$A$5:$A$80,J14,'07数值索引'!$D$5:$D$80)+SUMIF('07数值索引'!$A$5:$A$80,K14,'07数值索引'!$D$5:$D$80)+SUMIF('07数值索引'!$A$5:$A$80,L14,'07数值索引'!$D$5:$D$80)+SUMIF('07数值索引'!$A$5:$A$80,M14,'07数值索引'!$D$5:$D$80)+SUMIF('07数值索引'!$A$5:$A$80,N14,'07数值索引'!$D$5:$D$80)</f>
        <v>5</v>
      </c>
      <c r="P14" s="8">
        <f>0+SUMIF('07数值索引'!$A$5:$A$80,C14,'07数值索引'!$E$5:$E$80)+SUMIF('07数值索引'!$A$5:$A$80,D14,'07数值索引'!$E$5:$E$80)+SUMIF('07数值索引'!$A$5:$A$80,E14,'07数值索引'!$E$5:$E$80)+SUMIF('07数值索引'!$A$5:$A$80,F14,'07数值索引'!$E$5:$E$80)+SUMIF('07数值索引'!$A$5:$A$80,G14,'07数值索引'!$E$5:$E$80)+SUMIF('07数值索引'!$A$5:$A$80,H14,'07数值索引'!$E$5:$E$80)+SUMIF('07数值索引'!$A$5:$A$80,I14,'07数值索引'!$E$5:$E$80)+SUMIF('07数值索引'!$A$5:$A$80,J14,'07数值索引'!$E$5:$E$80)+SUMIF('07数值索引'!$A$5:$A$80,K14,'07数值索引'!$E$5:$E$80)+SUMIF('07数值索引'!$A$5:$A$80,L14,'07数值索引'!$E$5:$E$80)+SUMIF('07数值索引'!$A$5:$A$80,M14,'07数值索引'!$E$5:$E$80)+SUMIF('07数值索引'!$A$5:$A$80,N14,'07数值索引'!$E$5:$E$80)</f>
        <v>10</v>
      </c>
      <c r="Q14" s="8">
        <f>0+SUMIF('07数值索引'!$A$5:$A$80,C14,'07数值索引'!$F$5:$F$80)+SUMIF('07数值索引'!$A$5:$A$80,D14,'07数值索引'!$F$5:$F$80)+SUMIF('07数值索引'!$A$5:$A$80,E14,'07数值索引'!$F$5:$F$80)+SUMIF('07数值索引'!$A$5:$A$80,F14,'07数值索引'!$F$5:$F$80)+SUMIF('07数值索引'!$A$5:$A$80,G14,'07数值索引'!$F$5:$F$80)+SUMIF('07数值索引'!$A$5:$A$80,H14,'07数值索引'!$F$5:$F$80)+SUMIF('07数值索引'!$A$5:$A$80,I14,'07数值索引'!$F$5:$F$80)+SUMIF('07数值索引'!$A$5:$A$80,J14,'07数值索引'!$F$5:$F$80)+SUMIF('07数值索引'!$A$5:$A$80,K14,'07数值索引'!$F$5:$F$80)+SUMIF('07数值索引'!$A$5:$A$80,L14,'07数值索引'!$F$5:$F$80)+SUMIF('07数值索引'!$A$5:$A$80,M14,'07数值索引'!$F$5:$F$80)+SUMIF('07数值索引'!$A$5:$A$80,N14,'07数值索引'!$F$5:$F$80)</f>
        <v>0</v>
      </c>
      <c r="R14" s="8">
        <f>0+SUMIF('07数值索引'!$A$5:$A$80,C14,'07数值索引'!$G$5:$G$80)+SUMIF('07数值索引'!$A$5:$A$80,D14,'07数值索引'!$G$5:$G$80)+SUMIF('07数值索引'!$A$5:$A$80,E14,'07数值索引'!$G$5:$G$80)+SUMIF('07数值索引'!$A$5:$A$80,F14,'07数值索引'!$G$5:$G$80)+SUMIF('07数值索引'!$A$5:$A$80,G14,'07数值索引'!$G$5:$G$80)+SUMIF('07数值索引'!$A$5:$A$80,H14,'07数值索引'!$G$5:$G$80)+SUMIF('07数值索引'!$A$5:$A$80,I14,'07数值索引'!$G$5:$G$80)+SUMIF('07数值索引'!$A$5:$A$80,J14,'07数值索引'!$G$5:$G$80)+SUMIF('07数值索引'!$A$5:$A$80,K14,'07数值索引'!$G$5:$G$80)+SUMIF('07数值索引'!$A$5:$A$80,L14,'07数值索引'!$G$5:$G$80)+SUMIF('07数值索引'!$A$5:$A$80,M14,'07数值索引'!$G$5:$G$80)+SUMIF('07数值索引'!$A$5:$A$80,N14,'07数值索引'!$G$5:$G$80)</f>
        <v>7</v>
      </c>
      <c r="S14" s="8">
        <f>0+SUMIF('07数值索引'!$A$5:$A$80,C14,'07数值索引'!$H$5:$H$80)+SUMIF('07数值索引'!$A$5:$A$80,D14,'07数值索引'!$H$5:$H$80)+SUMIF('07数值索引'!$A$5:$A$80,E14,'07数值索引'!$H$5:$H$80)+SUMIF('07数值索引'!$A$5:$A$80,F14,'07数值索引'!$H$5:$H$80)+SUMIF('07数值索引'!$A$5:$A$80,G14,'07数值索引'!$H$5:$H$80)+SUMIF('07数值索引'!$A$5:$A$80,H14,'07数值索引'!$H$5:$H$80)+SUMIF('07数值索引'!$A$5:$A$80,I14,'07数值索引'!$H$5:$H$80)+SUMIF('07数值索引'!$A$5:$A$80,J14,'07数值索引'!$H$5:$H$80)+SUMIF('07数值索引'!$A$5:$A$80,K14,'07数值索引'!$H$5:$H$80)+SUMIF('07数值索引'!$A$5:$A$80,L14,'07数值索引'!$H$5:$H$80)+SUMIF('07数值索引'!$A$5:$A$80,M14,'07数值索引'!$H$5:$H$80)+SUMIF('07数值索引'!$A$5:$A$80,N14,'07数值索引'!$H$5:$H$80)</f>
        <v>1</v>
      </c>
      <c r="T14" s="8">
        <f>0+SUMIF('07数值索引'!$A$5:$A$80,C14,'07数值索引'!$I$5:$I$80)+SUMIF('07数值索引'!$A$5:$A$80,D14,'07数值索引'!$I$5:$I$80)+SUMIF('07数值索引'!$A$5:$A$80,E14,'07数值索引'!$I$5:$I$80)+SUMIF('07数值索引'!$A$5:$A$80,F14,'07数值索引'!$I$5:$I$80)+SUMIF('07数值索引'!$A$5:$A$80,G14,'07数值索引'!$I$5:$I$80)+SUMIF('07数值索引'!$A$5:$A$80,H14,'07数值索引'!$I$5:$I$80)+SUMIF('07数值索引'!$A$5:$A$80,I14,'07数值索引'!$I$5:$I$80)+SUMIF('07数值索引'!$A$5:$A$80,J14,'07数值索引'!$I$5:$I$80)+SUMIF('07数值索引'!$A$5:$A$80,K14,'07数值索引'!$I$5:$I$80)+SUMIF('07数值索引'!$A$5:$A$80,L14,'07数值索引'!$I$5:$I$80)+SUMIF('07数值索引'!$A$5:$A$80,M14,'07数值索引'!$I$5:$I$80)+SUMIF('07数值索引'!$A$5:$A$80,N14,'07数值索引'!$I$5:$I$80)</f>
        <v>1</v>
      </c>
      <c r="U14" s="8">
        <f>0+SUMIF('07数值索引'!$A$5:$A$80,C14,'07数值索引'!$J$5:$J$80)+SUMIF('07数值索引'!$A$5:$A$80,D14,'07数值索引'!$J$5:$J$80)+SUMIF('07数值索引'!$A$5:$A$80,E14,'07数值索引'!$J$5:$J$80)+SUMIF('07数值索引'!$A$5:$A$80,F14,'07数值索引'!$J$5:$J$80)+SUMIF('07数值索引'!$A$5:$A$80,G14,'07数值索引'!$J$5:$J$80)+SUMIF('07数值索引'!$A$5:$A$80,H14,'07数值索引'!$J$5:$J$80)+SUMIF('07数值索引'!$A$5:$A$80,I14,'07数值索引'!$J$5:$J$80)+SUMIF('07数值索引'!$A$5:$A$80,J14,'07数值索引'!$J$5:$J$80)+SUMIF('07数值索引'!$A$5:$A$80,K14,'07数值索引'!$J$5:$J$80)+SUMIF('07数值索引'!$A$5:$A$80,L14,'07数值索引'!$J$5:$J$80)+SUMIF('07数值索引'!$A$5:$A$80,M14,'07数值索引'!$J$5:$J$80)+SUMIF('07数值索引'!$A$5:$A$80,N14,'07数值索引'!$J$5:$J$80)</f>
        <v>0</v>
      </c>
      <c r="V14" s="8">
        <f>0+SUMIF('07数值索引'!$A$5:$A$80,C14,'07数值索引'!$K$5:$K$80)+SUMIF('07数值索引'!$A$5:$A$80,D14,'07数值索引'!$K$5:$K$80)+SUMIF('07数值索引'!$A$5:$A$80,E14,'07数值索引'!$K$5:$K$80)+SUMIF('07数值索引'!$A$5:$A$80,F14,'07数值索引'!$K$5:$K$80)+SUMIF('07数值索引'!$A$5:$A$80,G14,'07数值索引'!$K$5:$K$80)+SUMIF('07数值索引'!$A$5:$A$80,H14,'07数值索引'!$K$5:$K$80)+SUMIF('07数值索引'!$A$5:$A$80,I14,'07数值索引'!$K$5:$K$80)+SUMIF('07数值索引'!$A$5:$A$80,J14,'07数值索引'!$K$5:$K$80)+SUMIF('07数值索引'!$A$5:$A$80,K14,'07数值索引'!$K$5:$K$80)+SUMIF('07数值索引'!$A$5:$A$80,L14,'07数值索引'!$K$5:$K$80)+SUMIF('07数值索引'!$A$5:$A$80,M14,'07数值索引'!$K$5:$K$80)+SUMIF('07数值索引'!$A$5:$A$80,N14,'07数值索引'!$K$5:$K$80)</f>
        <v>1</v>
      </c>
      <c r="W14" s="8">
        <f>0+SUMIF('07数值索引'!$A$5:$A$80,C14,'07数值索引'!$L$5:$L$80)+SUMIF('07数值索引'!$A$5:$A$80,D14,'07数值索引'!$L$5:$L$80)+SUMIF('07数值索引'!$A$5:$A$80,E14,'07数值索引'!$L$5:$L$80)+SUMIF('07数值索引'!$A$5:$A$80,F14,'07数值索引'!$L$5:$L$80)+SUMIF('07数值索引'!$A$5:$A$80,G14,'07数值索引'!$L$5:$L$80)+SUMIF('07数值索引'!$A$5:$A$80,H14,'07数值索引'!$L$5:$L$80)+SUMIF('07数值索引'!$A$5:$A$80,I14,'07数值索引'!$L$5:$L$80)+SUMIF('07数值索引'!$A$5:$A$80,J14,'07数值索引'!$L$5:$L$80)+SUMIF('07数值索引'!$A$5:$A$80,K14,'07数值索引'!$L$5:$L$80)+SUMIF('07数值索引'!$A$5:$A$80,L14,'07数值索引'!$L$5:$L$80)+SUMIF('07数值索引'!$A$5:$A$80,M14,'07数值索引'!$L$5:$L$80)+SUMIF('07数值索引'!$A$5:$A$80,N14,'07数值索引'!$L$5:$L$80)</f>
        <v>0</v>
      </c>
      <c r="X14" s="8">
        <f>0+SUMIF('07数值索引'!$A$5:$A$80,C14,'07数值索引'!$M$5:$M$80)+SUMIF('07数值索引'!$A$5:$A$80,D14,'07数值索引'!$M$5:$M$80)+SUMIF('07数值索引'!$A$5:$A$80,E14,'07数值索引'!$M$5:$M$80)+SUMIF('07数值索引'!$A$5:$A$80,F14,'07数值索引'!$M$5:$M$80)+SUMIF('07数值索引'!$A$5:$A$80,G14,'07数值索引'!$M$5:$M$80)+SUMIF('07数值索引'!$A$5:$A$80,H14,'07数值索引'!$M$5:$M$80)+SUMIF('07数值索引'!$A$5:$A$80,I14,'07数值索引'!$M$5:$M$80)+SUMIF('07数值索引'!$A$5:$A$80,J14,'07数值索引'!$M$5:$M$80)+SUMIF('07数值索引'!$A$5:$A$80,K14,'07数值索引'!$M$5:$M$80)+SUMIF('07数值索引'!$A$5:$A$80,L14,'07数值索引'!$M$5:$M$80)+SUMIF('07数值索引'!$A$5:$A$80,M14,'07数值索引'!$M$5:$M$80)+SUMIF('07数值索引'!$A$5:$A$80,N14,'07数值索引'!$M$5:$M$80)</f>
        <v>0</v>
      </c>
      <c r="Y14" s="8">
        <f>0+SUMIF('07数值索引'!$A$5:$A$80,C14,'07数值索引'!$N$5:$N$80)+SUMIF('07数值索引'!$A$5:$A$80,D14,'07数值索引'!$N$5:$N$80)+SUMIF('07数值索引'!$A$5:$A$80,E14,'07数值索引'!$N$5:$N$80)+SUMIF('07数值索引'!$A$5:$A$80,F14,'07数值索引'!$N$5:$N$80)+SUMIF('07数值索引'!$A$5:$A$80,G14,'07数值索引'!$N$5:$N$80)+SUMIF('07数值索引'!$A$5:$A$80,H14,'07数值索引'!$N$5:$N$80)+SUMIF('07数值索引'!$A$5:$A$80,I14,'07数值索引'!$N$5:$N$80)+SUMIF('07数值索引'!$A$5:$A$80,J14,'07数值索引'!$N$5:$N$80)+SUMIF('07数值索引'!$A$5:$A$80,K14,'07数值索引'!$N$5:$N$80)+SUMIF('07数值索引'!$A$5:$A$80,L14,'07数值索引'!$N$5:$N$80)+SUMIF('07数值索引'!$A$5:$A$80,M14,'07数值索引'!$N$5:$N$80)+SUMIF('07数值索引'!$A$5:$A$80,N14,'07数值索引'!$N$5:$N$80)</f>
        <v>0</v>
      </c>
      <c r="Z14" s="8">
        <f>0+SUMIF('07数值索引'!$A$5:$A$80,C14,'07数值索引'!$O$5:$O$80)+SUMIF('07数值索引'!$A$5:$A$80,D14,'07数值索引'!$O$5:$O$80)+SUMIF('07数值索引'!$A$5:$A$80,E14,'07数值索引'!$O$5:$O$80)+SUMIF('07数值索引'!$A$5:$A$80,F14,'07数值索引'!$O$5:$O$80)+SUMIF('07数值索引'!$A$5:$A$80,G14,'07数值索引'!$O$5:$O$80)+SUMIF('07数值索引'!$A$5:$A$80,H14,'07数值索引'!$O$5:$O$80)+SUMIF('07数值索引'!$A$5:$A$80,I14,'07数值索引'!$O$5:$O$80)+SUMIF('07数值索引'!$A$5:$A$80,J14,'07数值索引'!$O$5:$O$80)+SUMIF('07数值索引'!$A$5:$A$80,K14,'07数值索引'!$O$5:$O$80)+SUMIF('07数值索引'!$A$5:$A$80,L14,'07数值索引'!$O$5:$O$80)+SUMIF('07数值索引'!$A$5:$A$80,M14,'07数值索引'!$O$5:$O$80)+SUMIF('07数值索引'!$A$5:$A$80,N14,'07数值索引'!$O$5:$O$80)</f>
        <v>0</v>
      </c>
      <c r="AA14" s="8">
        <f>0+SUMIF('07数值索引'!$A$5:$A$80,C14,'07数值索引'!$P$5:$P$80)+SUMIF('07数值索引'!$A$5:$A$80,D14,'07数值索引'!$P$5:$P$80)+SUMIF('07数值索引'!$A$5:$A$80,E14,'07数值索引'!$P$5:$P$80)+SUMIF('07数值索引'!$A$5:$A$80,F14,'07数值索引'!$P$5:$P$80)+SUMIF('07数值索引'!$A$5:$A$80,G14,'07数值索引'!$P$5:$P$80)+SUMIF('07数值索引'!$A$5:$A$80,H14,'07数值索引'!$P$5:$P$80)+SUMIF('07数值索引'!$A$5:$A$80,I14,'07数值索引'!$P$5:$P$80)+SUMIF('07数值索引'!$A$5:$A$80,J14,'07数值索引'!$P$5:$P$80)+SUMIF('07数值索引'!$A$5:$A$80,K14,'07数值索引'!$P$5:$P$80)+SUMIF('07数值索引'!$A$5:$A$80,L14,'07数值索引'!$P$5:$P$80)+SUMIF('07数值索引'!$A$5:$A$80,M14,'07数值索引'!$P$5:$P$80)+SUMIF('07数值索引'!$A$5:$A$80,N14,'07数值索引'!$P$5:$P$80)</f>
        <v>1</v>
      </c>
      <c r="AB14" s="8">
        <f>0+SUMIF('07数值索引'!$A$5:$A$80,C14,'07数值索引'!$Q$5:$Q$80)+SUMIF('07数值索引'!$A$5:$A$80,D14,'07数值索引'!$Q$5:$Q$80)+SUMIF('07数值索引'!$A$5:$A$80,E14,'07数值索引'!$Q$5:$Q$80)+SUMIF('07数值索引'!$A$5:$A$80,F14,'07数值索引'!$Q$5:$Q$80)+SUMIF('07数值索引'!$A$5:$A$80,G14,'07数值索引'!$Q$5:$Q$80)+SUMIF('07数值索引'!$A$5:$A$80,H14,'07数值索引'!$Q$5:$Q$80)+SUMIF('07数值索引'!$A$5:$A$80,I14,'07数值索引'!$Q$5:$Q$80)+SUMIF('07数值索引'!$A$5:$A$80,J14,'07数值索引'!$Q$5:$Q$80)+SUMIF('07数值索引'!$A$5:$A$80,K14,'07数值索引'!$Q$5:$Q$80)+SUMIF('07数值索引'!$A$5:$A$80,L14,'07数值索引'!$Q$5:$Q$80)+SUMIF('07数值索引'!$A$5:$A$80,M14,'07数值索引'!$Q$5:$Q$80)+SUMIF('07数值索引'!$A$5:$A$80,N14,'07数值索引'!$Q$5:$Q$80)</f>
        <v>0</v>
      </c>
      <c r="AC14" s="8">
        <f>0+SUMIF('07数值索引'!$A$5:$A$80,C14,'07数值索引'!$R$5:$R$80)+SUMIF('07数值索引'!$A$5:$A$80,D14,'07数值索引'!$R$5:$R$80)+SUMIF('07数值索引'!$A$5:$A$80,E14,'07数值索引'!$R$5:$R$80)+SUMIF('07数值索引'!$A$5:$A$80,F14,'07数值索引'!$R$5:$R$80)+SUMIF('07数值索引'!$A$5:$A$80,G14,'07数值索引'!$R$5:$R$80)+SUMIF('07数值索引'!$A$5:$A$80,H14,'07数值索引'!$R$5:$R$80)+SUMIF('07数值索引'!$A$5:$A$80,I14,'07数值索引'!$R$5:$R$80)+SUMIF('07数值索引'!$A$5:$A$80,J14,'07数值索引'!$R$5:$R$80)+SUMIF('07数值索引'!$A$5:$A$80,K14,'07数值索引'!$R$5:$R$80)+SUMIF('07数值索引'!$A$5:$A$80,L14,'07数值索引'!$R$5:$R$80)+SUMIF('07数值索引'!$A$5:$A$80,M14,'07数值索引'!$R$5:$R$80)+SUMIF('07数值索引'!$A$5:$A$80,N14,'07数值索引'!$R$5:$R$80)</f>
        <v>0</v>
      </c>
      <c r="AD14" s="8" t="str">
        <f t="shared" si="0"/>
        <v>《第二位圣女》</v>
      </c>
      <c r="AE14" s="8" t="s">
        <v>543</v>
      </c>
      <c r="AF14" s="8" t="str">
        <f t="shared" si="1"/>
        <v>PASS</v>
      </c>
      <c r="AG14" s="8" t="s">
        <v>696</v>
      </c>
      <c r="AH14" s="8" t="str">
        <f t="shared" si="2"/>
        <v>否</v>
      </c>
      <c r="AI14" s="8" t="str">
        <f>IF(AND(OR(C14="",COUNTIF('07数值索引'!$A$5:$A$80,C14)=1),OR(D14="",COUNTIF('07数值索引'!$A$5:$A$80,D14)=1),OR(E14="",COUNTIF('07数值索引'!$A$5:$A$80,E14)=1),OR(F14="",COUNTIF('07数值索引'!$A$5:$A$80,F14)=1),OR(G14="",COUNTIF('07数值索引'!$A$5:$A$80,G14)=1),OR(H14="",COUNTIF('07数值索引'!$A$5:$A$80,H14)=1),OR(I14="",COUNTIF('07数值索引'!$A$5:$A$80,I14)=1),OR(J14="",COUNTIF('07数值索引'!$A$5:$A$80,J14)=1),OR(K14="",COUNTIF('07数值索引'!$A$5:$A$80,K14)=1),OR(L14="",COUNTIF('07数值索引'!$A$5:$A$80,L14)=1),OR(M14="",COUNTIF('07数值索引'!$A$5:$A$80,M14)=1),OR(N14="",COUNTIF('07数值索引'!$A$5:$A$80,N14)=1)),"PASS","CHECK")</f>
        <v>PASS</v>
      </c>
      <c r="AJ14" s="8" t="str">
        <f>IFERROR(VLOOKUP(A14,'08A前置合法性'!$X$5:$Z$20,3,FALSE),"CHECK")</f>
        <v>PASS</v>
      </c>
      <c r="AK14" s="8" t="str">
        <f t="shared" si="3"/>
        <v>PASS</v>
      </c>
    </row>
    <row r="15" ht="48" customHeight="1" spans="1:37">
      <c r="A15" s="37" t="s">
        <v>697</v>
      </c>
      <c r="B15" s="8" t="s">
        <v>698</v>
      </c>
      <c r="C15" s="8" t="s">
        <v>582</v>
      </c>
      <c r="D15" s="8" t="s">
        <v>155</v>
      </c>
      <c r="E15" s="8" t="s">
        <v>165</v>
      </c>
      <c r="F15" s="8" t="s">
        <v>284</v>
      </c>
      <c r="G15" s="8" t="s">
        <v>183</v>
      </c>
      <c r="H15" s="8" t="s">
        <v>191</v>
      </c>
      <c r="I15" s="8" t="s">
        <v>446</v>
      </c>
      <c r="J15" s="8" t="s">
        <v>461</v>
      </c>
      <c r="K15" s="8" t="s">
        <v>469</v>
      </c>
      <c r="L15" s="8" t="s">
        <v>479</v>
      </c>
      <c r="M15" s="8" t="s">
        <v>636</v>
      </c>
      <c r="N15" s="8" t="s">
        <v>209</v>
      </c>
      <c r="O15" s="8">
        <f>0+SUMIF('07数值索引'!$A$5:$A$80,C15,'07数值索引'!$D$5:$D$80)+SUMIF('07数值索引'!$A$5:$A$80,D15,'07数值索引'!$D$5:$D$80)+SUMIF('07数值索引'!$A$5:$A$80,E15,'07数值索引'!$D$5:$D$80)+SUMIF('07数值索引'!$A$5:$A$80,F15,'07数值索引'!$D$5:$D$80)+SUMIF('07数值索引'!$A$5:$A$80,G15,'07数值索引'!$D$5:$D$80)+SUMIF('07数值索引'!$A$5:$A$80,H15,'07数值索引'!$D$5:$D$80)+SUMIF('07数值索引'!$A$5:$A$80,I15,'07数值索引'!$D$5:$D$80)+SUMIF('07数值索引'!$A$5:$A$80,J15,'07数值索引'!$D$5:$D$80)+SUMIF('07数值索引'!$A$5:$A$80,K15,'07数值索引'!$D$5:$D$80)+SUMIF('07数值索引'!$A$5:$A$80,L15,'07数值索引'!$D$5:$D$80)+SUMIF('07数值索引'!$A$5:$A$80,M15,'07数值索引'!$D$5:$D$80)+SUMIF('07数值索引'!$A$5:$A$80,N15,'07数值索引'!$D$5:$D$80)</f>
        <v>15</v>
      </c>
      <c r="P15" s="8">
        <f>0+SUMIF('07数值索引'!$A$5:$A$80,C15,'07数值索引'!$E$5:$E$80)+SUMIF('07数值索引'!$A$5:$A$80,D15,'07数值索引'!$E$5:$E$80)+SUMIF('07数值索引'!$A$5:$A$80,E15,'07数值索引'!$E$5:$E$80)+SUMIF('07数值索引'!$A$5:$A$80,F15,'07数值索引'!$E$5:$E$80)+SUMIF('07数值索引'!$A$5:$A$80,G15,'07数值索引'!$E$5:$E$80)+SUMIF('07数值索引'!$A$5:$A$80,H15,'07数值索引'!$E$5:$E$80)+SUMIF('07数值索引'!$A$5:$A$80,I15,'07数值索引'!$E$5:$E$80)+SUMIF('07数值索引'!$A$5:$A$80,J15,'07数值索引'!$E$5:$E$80)+SUMIF('07数值索引'!$A$5:$A$80,K15,'07数值索引'!$E$5:$E$80)+SUMIF('07数值索引'!$A$5:$A$80,L15,'07数值索引'!$E$5:$E$80)+SUMIF('07数值索引'!$A$5:$A$80,M15,'07数值索引'!$E$5:$E$80)+SUMIF('07数值索引'!$A$5:$A$80,N15,'07数值索引'!$E$5:$E$80)</f>
        <v>-1</v>
      </c>
      <c r="Q15" s="8">
        <f>0+SUMIF('07数值索引'!$A$5:$A$80,C15,'07数值索引'!$F$5:$F$80)+SUMIF('07数值索引'!$A$5:$A$80,D15,'07数值索引'!$F$5:$F$80)+SUMIF('07数值索引'!$A$5:$A$80,E15,'07数值索引'!$F$5:$F$80)+SUMIF('07数值索引'!$A$5:$A$80,F15,'07数值索引'!$F$5:$F$80)+SUMIF('07数值索引'!$A$5:$A$80,G15,'07数值索引'!$F$5:$F$80)+SUMIF('07数值索引'!$A$5:$A$80,H15,'07数值索引'!$F$5:$F$80)+SUMIF('07数值索引'!$A$5:$A$80,I15,'07数值索引'!$F$5:$F$80)+SUMIF('07数值索引'!$A$5:$A$80,J15,'07数值索引'!$F$5:$F$80)+SUMIF('07数值索引'!$A$5:$A$80,K15,'07数值索引'!$F$5:$F$80)+SUMIF('07数值索引'!$A$5:$A$80,L15,'07数值索引'!$F$5:$F$80)+SUMIF('07数值索引'!$A$5:$A$80,M15,'07数值索引'!$F$5:$F$80)+SUMIF('07数值索引'!$A$5:$A$80,N15,'07数值索引'!$F$5:$F$80)</f>
        <v>7</v>
      </c>
      <c r="R15" s="8">
        <f>0+SUMIF('07数值索引'!$A$5:$A$80,C15,'07数值索引'!$G$5:$G$80)+SUMIF('07数值索引'!$A$5:$A$80,D15,'07数值索引'!$G$5:$G$80)+SUMIF('07数值索引'!$A$5:$A$80,E15,'07数值索引'!$G$5:$G$80)+SUMIF('07数值索引'!$A$5:$A$80,F15,'07数值索引'!$G$5:$G$80)+SUMIF('07数值索引'!$A$5:$A$80,G15,'07数值索引'!$G$5:$G$80)+SUMIF('07数值索引'!$A$5:$A$80,H15,'07数值索引'!$G$5:$G$80)+SUMIF('07数值索引'!$A$5:$A$80,I15,'07数值索引'!$G$5:$G$80)+SUMIF('07数值索引'!$A$5:$A$80,J15,'07数值索引'!$G$5:$G$80)+SUMIF('07数值索引'!$A$5:$A$80,K15,'07数值索引'!$G$5:$G$80)+SUMIF('07数值索引'!$A$5:$A$80,L15,'07数值索引'!$G$5:$G$80)+SUMIF('07数值索引'!$A$5:$A$80,M15,'07数值索引'!$G$5:$G$80)+SUMIF('07数值索引'!$A$5:$A$80,N15,'07数值索引'!$G$5:$G$80)</f>
        <v>6</v>
      </c>
      <c r="S15" s="8">
        <f>0+SUMIF('07数值索引'!$A$5:$A$80,C15,'07数值索引'!$H$5:$H$80)+SUMIF('07数值索引'!$A$5:$A$80,D15,'07数值索引'!$H$5:$H$80)+SUMIF('07数值索引'!$A$5:$A$80,E15,'07数值索引'!$H$5:$H$80)+SUMIF('07数值索引'!$A$5:$A$80,F15,'07数值索引'!$H$5:$H$80)+SUMIF('07数值索引'!$A$5:$A$80,G15,'07数值索引'!$H$5:$H$80)+SUMIF('07数值索引'!$A$5:$A$80,H15,'07数值索引'!$H$5:$H$80)+SUMIF('07数值索引'!$A$5:$A$80,I15,'07数值索引'!$H$5:$H$80)+SUMIF('07数值索引'!$A$5:$A$80,J15,'07数值索引'!$H$5:$H$80)+SUMIF('07数值索引'!$A$5:$A$80,K15,'07数值索引'!$H$5:$H$80)+SUMIF('07数值索引'!$A$5:$A$80,L15,'07数值索引'!$H$5:$H$80)+SUMIF('07数值索引'!$A$5:$A$80,M15,'07数值索引'!$H$5:$H$80)+SUMIF('07数值索引'!$A$5:$A$80,N15,'07数值索引'!$H$5:$H$80)</f>
        <v>2</v>
      </c>
      <c r="T15" s="8">
        <f>0+SUMIF('07数值索引'!$A$5:$A$80,C15,'07数值索引'!$I$5:$I$80)+SUMIF('07数值索引'!$A$5:$A$80,D15,'07数值索引'!$I$5:$I$80)+SUMIF('07数值索引'!$A$5:$A$80,E15,'07数值索引'!$I$5:$I$80)+SUMIF('07数值索引'!$A$5:$A$80,F15,'07数值索引'!$I$5:$I$80)+SUMIF('07数值索引'!$A$5:$A$80,G15,'07数值索引'!$I$5:$I$80)+SUMIF('07数值索引'!$A$5:$A$80,H15,'07数值索引'!$I$5:$I$80)+SUMIF('07数值索引'!$A$5:$A$80,I15,'07数值索引'!$I$5:$I$80)+SUMIF('07数值索引'!$A$5:$A$80,J15,'07数值索引'!$I$5:$I$80)+SUMIF('07数值索引'!$A$5:$A$80,K15,'07数值索引'!$I$5:$I$80)+SUMIF('07数值索引'!$A$5:$A$80,L15,'07数值索引'!$I$5:$I$80)+SUMIF('07数值索引'!$A$5:$A$80,M15,'07数值索引'!$I$5:$I$80)+SUMIF('07数值索引'!$A$5:$A$80,N15,'07数值索引'!$I$5:$I$80)</f>
        <v>0</v>
      </c>
      <c r="U15" s="8">
        <f>0+SUMIF('07数值索引'!$A$5:$A$80,C15,'07数值索引'!$J$5:$J$80)+SUMIF('07数值索引'!$A$5:$A$80,D15,'07数值索引'!$J$5:$J$80)+SUMIF('07数值索引'!$A$5:$A$80,E15,'07数值索引'!$J$5:$J$80)+SUMIF('07数值索引'!$A$5:$A$80,F15,'07数值索引'!$J$5:$J$80)+SUMIF('07数值索引'!$A$5:$A$80,G15,'07数值索引'!$J$5:$J$80)+SUMIF('07数值索引'!$A$5:$A$80,H15,'07数值索引'!$J$5:$J$80)+SUMIF('07数值索引'!$A$5:$A$80,I15,'07数值索引'!$J$5:$J$80)+SUMIF('07数值索引'!$A$5:$A$80,J15,'07数值索引'!$J$5:$J$80)+SUMIF('07数值索引'!$A$5:$A$80,K15,'07数值索引'!$J$5:$J$80)+SUMIF('07数值索引'!$A$5:$A$80,L15,'07数值索引'!$J$5:$J$80)+SUMIF('07数值索引'!$A$5:$A$80,M15,'07数值索引'!$J$5:$J$80)+SUMIF('07数值索引'!$A$5:$A$80,N15,'07数值索引'!$J$5:$J$80)</f>
        <v>0</v>
      </c>
      <c r="V15" s="8">
        <f>0+SUMIF('07数值索引'!$A$5:$A$80,C15,'07数值索引'!$K$5:$K$80)+SUMIF('07数值索引'!$A$5:$A$80,D15,'07数值索引'!$K$5:$K$80)+SUMIF('07数值索引'!$A$5:$A$80,E15,'07数值索引'!$K$5:$K$80)+SUMIF('07数值索引'!$A$5:$A$80,F15,'07数值索引'!$K$5:$K$80)+SUMIF('07数值索引'!$A$5:$A$80,G15,'07数值索引'!$K$5:$K$80)+SUMIF('07数值索引'!$A$5:$A$80,H15,'07数值索引'!$K$5:$K$80)+SUMIF('07数值索引'!$A$5:$A$80,I15,'07数值索引'!$K$5:$K$80)+SUMIF('07数值索引'!$A$5:$A$80,J15,'07数值索引'!$K$5:$K$80)+SUMIF('07数值索引'!$A$5:$A$80,K15,'07数值索引'!$K$5:$K$80)+SUMIF('07数值索引'!$A$5:$A$80,L15,'07数值索引'!$K$5:$K$80)+SUMIF('07数值索引'!$A$5:$A$80,M15,'07数值索引'!$K$5:$K$80)+SUMIF('07数值索引'!$A$5:$A$80,N15,'07数值索引'!$K$5:$K$80)</f>
        <v>0</v>
      </c>
      <c r="W15" s="8">
        <f>0+SUMIF('07数值索引'!$A$5:$A$80,C15,'07数值索引'!$L$5:$L$80)+SUMIF('07数值索引'!$A$5:$A$80,D15,'07数值索引'!$L$5:$L$80)+SUMIF('07数值索引'!$A$5:$A$80,E15,'07数值索引'!$L$5:$L$80)+SUMIF('07数值索引'!$A$5:$A$80,F15,'07数值索引'!$L$5:$L$80)+SUMIF('07数值索引'!$A$5:$A$80,G15,'07数值索引'!$L$5:$L$80)+SUMIF('07数值索引'!$A$5:$A$80,H15,'07数值索引'!$L$5:$L$80)+SUMIF('07数值索引'!$A$5:$A$80,I15,'07数值索引'!$L$5:$L$80)+SUMIF('07数值索引'!$A$5:$A$80,J15,'07数值索引'!$L$5:$L$80)+SUMIF('07数值索引'!$A$5:$A$80,K15,'07数值索引'!$L$5:$L$80)+SUMIF('07数值索引'!$A$5:$A$80,L15,'07数值索引'!$L$5:$L$80)+SUMIF('07数值索引'!$A$5:$A$80,M15,'07数值索引'!$L$5:$L$80)+SUMIF('07数值索引'!$A$5:$A$80,N15,'07数值索引'!$L$5:$L$80)</f>
        <v>0</v>
      </c>
      <c r="X15" s="8">
        <f>0+SUMIF('07数值索引'!$A$5:$A$80,C15,'07数值索引'!$M$5:$M$80)+SUMIF('07数值索引'!$A$5:$A$80,D15,'07数值索引'!$M$5:$M$80)+SUMIF('07数值索引'!$A$5:$A$80,E15,'07数值索引'!$M$5:$M$80)+SUMIF('07数值索引'!$A$5:$A$80,F15,'07数值索引'!$M$5:$M$80)+SUMIF('07数值索引'!$A$5:$A$80,G15,'07数值索引'!$M$5:$M$80)+SUMIF('07数值索引'!$A$5:$A$80,H15,'07数值索引'!$M$5:$M$80)+SUMIF('07数值索引'!$A$5:$A$80,I15,'07数值索引'!$M$5:$M$80)+SUMIF('07数值索引'!$A$5:$A$80,J15,'07数值索引'!$M$5:$M$80)+SUMIF('07数值索引'!$A$5:$A$80,K15,'07数值索引'!$M$5:$M$80)+SUMIF('07数值索引'!$A$5:$A$80,L15,'07数值索引'!$M$5:$M$80)+SUMIF('07数值索引'!$A$5:$A$80,M15,'07数值索引'!$M$5:$M$80)+SUMIF('07数值索引'!$A$5:$A$80,N15,'07数值索引'!$M$5:$M$80)</f>
        <v>3</v>
      </c>
      <c r="Y15" s="8">
        <f>0+SUMIF('07数值索引'!$A$5:$A$80,C15,'07数值索引'!$N$5:$N$80)+SUMIF('07数值索引'!$A$5:$A$80,D15,'07数值索引'!$N$5:$N$80)+SUMIF('07数值索引'!$A$5:$A$80,E15,'07数值索引'!$N$5:$N$80)+SUMIF('07数值索引'!$A$5:$A$80,F15,'07数值索引'!$N$5:$N$80)+SUMIF('07数值索引'!$A$5:$A$80,G15,'07数值索引'!$N$5:$N$80)+SUMIF('07数值索引'!$A$5:$A$80,H15,'07数值索引'!$N$5:$N$80)+SUMIF('07数值索引'!$A$5:$A$80,I15,'07数值索引'!$N$5:$N$80)+SUMIF('07数值索引'!$A$5:$A$80,J15,'07数值索引'!$N$5:$N$80)+SUMIF('07数值索引'!$A$5:$A$80,K15,'07数值索引'!$N$5:$N$80)+SUMIF('07数值索引'!$A$5:$A$80,L15,'07数值索引'!$N$5:$N$80)+SUMIF('07数值索引'!$A$5:$A$80,M15,'07数值索引'!$N$5:$N$80)+SUMIF('07数值索引'!$A$5:$A$80,N15,'07数值索引'!$N$5:$N$80)</f>
        <v>1</v>
      </c>
      <c r="Z15" s="8">
        <f>0+SUMIF('07数值索引'!$A$5:$A$80,C15,'07数值索引'!$O$5:$O$80)+SUMIF('07数值索引'!$A$5:$A$80,D15,'07数值索引'!$O$5:$O$80)+SUMIF('07数值索引'!$A$5:$A$80,E15,'07数值索引'!$O$5:$O$80)+SUMIF('07数值索引'!$A$5:$A$80,F15,'07数值索引'!$O$5:$O$80)+SUMIF('07数值索引'!$A$5:$A$80,G15,'07数值索引'!$O$5:$O$80)+SUMIF('07数值索引'!$A$5:$A$80,H15,'07数值索引'!$O$5:$O$80)+SUMIF('07数值索引'!$A$5:$A$80,I15,'07数值索引'!$O$5:$O$80)+SUMIF('07数值索引'!$A$5:$A$80,J15,'07数值索引'!$O$5:$O$80)+SUMIF('07数值索引'!$A$5:$A$80,K15,'07数值索引'!$O$5:$O$80)+SUMIF('07数值索引'!$A$5:$A$80,L15,'07数值索引'!$O$5:$O$80)+SUMIF('07数值索引'!$A$5:$A$80,M15,'07数值索引'!$O$5:$O$80)+SUMIF('07数值索引'!$A$5:$A$80,N15,'07数值索引'!$O$5:$O$80)</f>
        <v>0</v>
      </c>
      <c r="AA15" s="8">
        <f>0+SUMIF('07数值索引'!$A$5:$A$80,C15,'07数值索引'!$P$5:$P$80)+SUMIF('07数值索引'!$A$5:$A$80,D15,'07数值索引'!$P$5:$P$80)+SUMIF('07数值索引'!$A$5:$A$80,E15,'07数值索引'!$P$5:$P$80)+SUMIF('07数值索引'!$A$5:$A$80,F15,'07数值索引'!$P$5:$P$80)+SUMIF('07数值索引'!$A$5:$A$80,G15,'07数值索引'!$P$5:$P$80)+SUMIF('07数值索引'!$A$5:$A$80,H15,'07数值索引'!$P$5:$P$80)+SUMIF('07数值索引'!$A$5:$A$80,I15,'07数值索引'!$P$5:$P$80)+SUMIF('07数值索引'!$A$5:$A$80,J15,'07数值索引'!$P$5:$P$80)+SUMIF('07数值索引'!$A$5:$A$80,K15,'07数值索引'!$P$5:$P$80)+SUMIF('07数值索引'!$A$5:$A$80,L15,'07数值索引'!$P$5:$P$80)+SUMIF('07数值索引'!$A$5:$A$80,M15,'07数值索引'!$P$5:$P$80)+SUMIF('07数值索引'!$A$5:$A$80,N15,'07数值索引'!$P$5:$P$80)</f>
        <v>0</v>
      </c>
      <c r="AB15" s="8">
        <f>0+SUMIF('07数值索引'!$A$5:$A$80,C15,'07数值索引'!$Q$5:$Q$80)+SUMIF('07数值索引'!$A$5:$A$80,D15,'07数值索引'!$Q$5:$Q$80)+SUMIF('07数值索引'!$A$5:$A$80,E15,'07数值索引'!$Q$5:$Q$80)+SUMIF('07数值索引'!$A$5:$A$80,F15,'07数值索引'!$Q$5:$Q$80)+SUMIF('07数值索引'!$A$5:$A$80,G15,'07数值索引'!$Q$5:$Q$80)+SUMIF('07数值索引'!$A$5:$A$80,H15,'07数值索引'!$Q$5:$Q$80)+SUMIF('07数值索引'!$A$5:$A$80,I15,'07数值索引'!$Q$5:$Q$80)+SUMIF('07数值索引'!$A$5:$A$80,J15,'07数值索引'!$Q$5:$Q$80)+SUMIF('07数值索引'!$A$5:$A$80,K15,'07数值索引'!$Q$5:$Q$80)+SUMIF('07数值索引'!$A$5:$A$80,L15,'07数值索引'!$Q$5:$Q$80)+SUMIF('07数值索引'!$A$5:$A$80,M15,'07数值索引'!$Q$5:$Q$80)+SUMIF('07数值索引'!$A$5:$A$80,N15,'07数值索引'!$Q$5:$Q$80)</f>
        <v>0</v>
      </c>
      <c r="AC15" s="8">
        <f>0+SUMIF('07数值索引'!$A$5:$A$80,C15,'07数值索引'!$R$5:$R$80)+SUMIF('07数值索引'!$A$5:$A$80,D15,'07数值索引'!$R$5:$R$80)+SUMIF('07数值索引'!$A$5:$A$80,E15,'07数值索引'!$R$5:$R$80)+SUMIF('07数值索引'!$A$5:$A$80,F15,'07数值索引'!$R$5:$R$80)+SUMIF('07数值索引'!$A$5:$A$80,G15,'07数值索引'!$R$5:$R$80)+SUMIF('07数值索引'!$A$5:$A$80,H15,'07数值索引'!$R$5:$R$80)+SUMIF('07数值索引'!$A$5:$A$80,I15,'07数值索引'!$R$5:$R$80)+SUMIF('07数值索引'!$A$5:$A$80,J15,'07数值索引'!$R$5:$R$80)+SUMIF('07数值索引'!$A$5:$A$80,K15,'07数值索引'!$R$5:$R$80)+SUMIF('07数值索引'!$A$5:$A$80,L15,'07数值索引'!$R$5:$R$80)+SUMIF('07数值索引'!$A$5:$A$80,M15,'07数值索引'!$R$5:$R$80)+SUMIF('07数值索引'!$A$5:$A$80,N15,'07数值索引'!$R$5:$R$80)</f>
        <v>0</v>
      </c>
      <c r="AD15" s="8" t="str">
        <f t="shared" si="0"/>
        <v>《证人之死》</v>
      </c>
      <c r="AE15" s="8" t="s">
        <v>527</v>
      </c>
      <c r="AF15" s="8" t="str">
        <f t="shared" si="1"/>
        <v>PASS</v>
      </c>
      <c r="AG15" s="8" t="s">
        <v>699</v>
      </c>
      <c r="AH15" s="8" t="str">
        <f t="shared" si="2"/>
        <v>否</v>
      </c>
      <c r="AI15" s="8" t="str">
        <f>IF(AND(OR(C15="",COUNTIF('07数值索引'!$A$5:$A$80,C15)=1),OR(D15="",COUNTIF('07数值索引'!$A$5:$A$80,D15)=1),OR(E15="",COUNTIF('07数值索引'!$A$5:$A$80,E15)=1),OR(F15="",COUNTIF('07数值索引'!$A$5:$A$80,F15)=1),OR(G15="",COUNTIF('07数值索引'!$A$5:$A$80,G15)=1),OR(H15="",COUNTIF('07数值索引'!$A$5:$A$80,H15)=1),OR(I15="",COUNTIF('07数值索引'!$A$5:$A$80,I15)=1),OR(J15="",COUNTIF('07数值索引'!$A$5:$A$80,J15)=1),OR(K15="",COUNTIF('07数值索引'!$A$5:$A$80,K15)=1),OR(L15="",COUNTIF('07数值索引'!$A$5:$A$80,L15)=1),OR(M15="",COUNTIF('07数值索引'!$A$5:$A$80,M15)=1),OR(N15="",COUNTIF('07数值索引'!$A$5:$A$80,N15)=1)),"PASS","CHECK")</f>
        <v>PASS</v>
      </c>
      <c r="AJ15" s="8" t="str">
        <f>IFERROR(VLOOKUP(A15,'08A前置合法性'!$X$5:$Z$20,3,FALSE),"CHECK")</f>
        <v>PASS</v>
      </c>
      <c r="AK15" s="8" t="str">
        <f t="shared" si="3"/>
        <v>PASS</v>
      </c>
    </row>
  </sheetData>
  <mergeCells count="2">
    <mergeCell ref="A1:AK1"/>
    <mergeCell ref="A2:AK2"/>
  </mergeCells>
  <conditionalFormatting sqref="AF5:AF12">
    <cfRule type="containsText" dxfId="3" priority="1" operator="between" text="PASS">
      <formula>NOT(ISERROR(SEARCH("PASS",AF5)))</formula>
    </cfRule>
    <cfRule type="containsText" dxfId="0" priority="2" operator="between" text="CHECK">
      <formula>NOT(ISERROR(SEARCH("CHECK",AF5)))</formula>
    </cfRule>
  </conditionalFormatting>
  <conditionalFormatting sqref="AF5:AF15">
    <cfRule type="containsText" dxfId="4" priority="3" operator="between" text="PASS">
      <formula>NOT(ISERROR(SEARCH("PASS",AF5)))</formula>
    </cfRule>
    <cfRule type="containsText" dxfId="5" priority="4" operator="between" text="CHECK">
      <formula>NOT(ISERROR(SEARCH("CHECK",AF5)))</formula>
    </cfRule>
  </conditionalFormatting>
  <conditionalFormatting sqref="AH5:AH15">
    <cfRule type="containsText" dxfId="5" priority="7" operator="between" text="是">
      <formula>NOT(ISERROR(SEARCH("是",AH5)))</formula>
    </cfRule>
  </conditionalFormatting>
  <conditionalFormatting sqref="AI5:AK15">
    <cfRule type="containsText" dxfId="4" priority="5" operator="between" text="PASS">
      <formula>NOT(ISERROR(SEARCH("PASS",AI5)))</formula>
    </cfRule>
    <cfRule type="containsText" dxfId="5" priority="6" operator="between" text="CHECK">
      <formula>NOT(ISERROR(SEARCH("CHECK",AI5)))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8"/>
  <sheetViews>
    <sheetView showGridLines="0" workbookViewId="0">
      <selection activeCell="F21" sqref="F21"/>
    </sheetView>
  </sheetViews>
  <sheetFormatPr defaultColWidth="9" defaultRowHeight="14"/>
  <cols>
    <col min="1" max="1" width="12" style="15" customWidth="1"/>
    <col min="2" max="2" width="8" style="16" customWidth="1"/>
    <col min="3" max="3" width="20" style="15" customWidth="1"/>
    <col min="4" max="4" width="48" style="15" customWidth="1"/>
    <col min="5" max="8" width="10" style="16" customWidth="1"/>
    <col min="9" max="12" width="12" style="16" customWidth="1"/>
    <col min="13" max="13" width="38" style="15" customWidth="1"/>
    <col min="14" max="14" width="12" style="15" customWidth="1"/>
    <col min="15" max="22" width="9" style="15" customWidth="1"/>
    <col min="23" max="23" width="3" style="15" customWidth="1"/>
    <col min="24" max="24" width="12" style="15" customWidth="1"/>
    <col min="25" max="25" width="30" style="15" customWidth="1"/>
    <col min="26" max="26" width="12" style="15" customWidth="1"/>
    <col min="27" max="16384" width="9" style="15"/>
  </cols>
  <sheetData>
    <row r="1" ht="28" customHeight="1" spans="1:26">
      <c r="A1" s="1" t="s">
        <v>700</v>
      </c>
      <c r="B1" s="17"/>
      <c r="C1" s="1"/>
      <c r="D1" s="1"/>
      <c r="E1" s="17"/>
      <c r="F1" s="17"/>
      <c r="G1" s="17"/>
      <c r="H1" s="17"/>
      <c r="I1" s="17"/>
      <c r="J1" s="17"/>
      <c r="K1" s="17"/>
      <c r="L1" s="1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4" customHeight="1" spans="1:26">
      <c r="A2" s="2" t="s">
        <v>701</v>
      </c>
      <c r="B2" s="18"/>
      <c r="C2" s="2"/>
      <c r="D2" s="2"/>
      <c r="E2" s="18"/>
      <c r="F2" s="18"/>
      <c r="G2" s="18"/>
      <c r="H2" s="18"/>
      <c r="I2" s="18"/>
      <c r="J2" s="18"/>
      <c r="K2" s="18"/>
      <c r="L2" s="1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ht="14.5" spans="1:26">
      <c r="A4" s="3" t="s">
        <v>640</v>
      </c>
      <c r="B4" s="19" t="s">
        <v>702</v>
      </c>
      <c r="C4" s="3" t="s">
        <v>573</v>
      </c>
      <c r="D4" s="3" t="s">
        <v>703</v>
      </c>
      <c r="E4" s="19" t="s">
        <v>704</v>
      </c>
      <c r="F4" s="19" t="s">
        <v>705</v>
      </c>
      <c r="G4" s="19" t="s">
        <v>706</v>
      </c>
      <c r="H4" s="19" t="s">
        <v>707</v>
      </c>
      <c r="I4" s="19" t="s">
        <v>708</v>
      </c>
      <c r="J4" s="19" t="s">
        <v>709</v>
      </c>
      <c r="K4" s="19" t="s">
        <v>710</v>
      </c>
      <c r="L4" s="19" t="s">
        <v>711</v>
      </c>
      <c r="M4" s="3" t="s">
        <v>712</v>
      </c>
      <c r="N4" s="3" t="s">
        <v>713</v>
      </c>
      <c r="O4" s="3" t="s">
        <v>714</v>
      </c>
      <c r="P4" s="3" t="s">
        <v>715</v>
      </c>
      <c r="Q4" s="3" t="s">
        <v>716</v>
      </c>
      <c r="R4" s="3" t="s">
        <v>717</v>
      </c>
      <c r="S4" s="3" t="s">
        <v>718</v>
      </c>
      <c r="T4" s="3" t="s">
        <v>719</v>
      </c>
      <c r="U4" s="3" t="s">
        <v>720</v>
      </c>
      <c r="V4" s="3" t="s">
        <v>721</v>
      </c>
      <c r="X4" s="3" t="s">
        <v>640</v>
      </c>
      <c r="Y4" s="3" t="s">
        <v>641</v>
      </c>
      <c r="Z4" s="3" t="s">
        <v>722</v>
      </c>
    </row>
    <row r="5" ht="14.5" spans="1:26">
      <c r="A5" s="20" t="s">
        <v>666</v>
      </c>
      <c r="B5" s="21">
        <v>1</v>
      </c>
      <c r="C5" s="22" t="s">
        <v>582</v>
      </c>
      <c r="D5" s="22" t="str">
        <f>IFERROR(VLOOKUP(C5,'07数值索引'!$A$5:$S$80,19,FALSE),"未找到事件")</f>
        <v>阿禾因救人而保留最低限度善意；追兵已在沿河搜索</v>
      </c>
      <c r="E5" s="21">
        <f t="shared" ref="E5:L5" si="0">0</f>
        <v>0</v>
      </c>
      <c r="F5" s="21">
        <f t="shared" si="0"/>
        <v>0</v>
      </c>
      <c r="G5" s="21">
        <f t="shared" si="0"/>
        <v>0</v>
      </c>
      <c r="H5" s="21">
        <f t="shared" si="0"/>
        <v>0</v>
      </c>
      <c r="I5" s="21">
        <f t="shared" si="0"/>
        <v>0</v>
      </c>
      <c r="J5" s="21">
        <f t="shared" si="0"/>
        <v>0</v>
      </c>
      <c r="K5" s="21">
        <f t="shared" si="0"/>
        <v>0</v>
      </c>
      <c r="L5" s="21">
        <f t="shared" si="0"/>
        <v>0</v>
      </c>
      <c r="M5" s="23" t="s">
        <v>723</v>
      </c>
      <c r="N5" s="22" t="str">
        <f>IF(COUNTIF('07数值索引'!$A$5:$A$80,C5)=1,"PASS","CHECK")</f>
        <v>PASS</v>
      </c>
      <c r="O5" s="22">
        <f>SUMIF('07数值索引'!$A$5:$A$80,C5,'07数值索引'!$D$5:$D$80)</f>
        <v>0</v>
      </c>
      <c r="P5" s="22">
        <f>SUMIF('07数值索引'!$A$5:$A$80,C5,'07数值索引'!$E$5:$E$80)</f>
        <v>0</v>
      </c>
      <c r="Q5" s="22">
        <f>SUMIF('07数值索引'!$A$5:$A$80,C5,'07数值索引'!$F$5:$F$80)</f>
        <v>1</v>
      </c>
      <c r="R5" s="22">
        <f>SUMIF('07数值索引'!$A$5:$A$80,C5,'07数值索引'!$G$5:$G$80)</f>
        <v>1</v>
      </c>
      <c r="S5" s="22">
        <f>SUMIF('07数值索引'!$A$5:$A$80,C5,'07数值索引'!$M$5:$M$80)</f>
        <v>0</v>
      </c>
      <c r="T5" s="22">
        <f>SUMIF('07数值索引'!$A$5:$A$80,C5,'07数值索引'!$H$5:$H$80)</f>
        <v>0</v>
      </c>
      <c r="U5" s="22">
        <f>SUMIF('07数值索引'!$A$5:$A$80,C5,'07数值索引'!$I$5:$I$80)</f>
        <v>0</v>
      </c>
      <c r="V5" s="22">
        <f>SUMIF('07数值索引'!$A$5:$A$80,C5,'07数值索引'!$J$5:$J$80)</f>
        <v>0</v>
      </c>
      <c r="X5" s="22" t="s">
        <v>666</v>
      </c>
      <c r="Y5" s="22" t="s">
        <v>667</v>
      </c>
      <c r="Z5" s="22" t="str">
        <f t="shared" ref="Z5:Z15" si="1">IF(COUNTIFS($A$5:$A$128,X5,$N$5:$N$128,"CHECK")=0,"PASS","CHECK")</f>
        <v>PASS</v>
      </c>
    </row>
    <row r="6" ht="14.5" spans="1:26">
      <c r="A6" s="24" t="s">
        <v>666</v>
      </c>
      <c r="B6" s="25">
        <v>2</v>
      </c>
      <c r="C6" s="26" t="s">
        <v>144</v>
      </c>
      <c r="D6" s="26" t="str">
        <f>IFERROR(VLOOKUP(C6,'07数值索引'!$A$5:$S$80,19,FALSE),"未找到事件")</f>
        <v>坦白不知道来历，也不想连累阿禾</v>
      </c>
      <c r="E6" s="25">
        <f>SUMIFS($O$5:O5,$A$5:$A5,A6)</f>
        <v>0</v>
      </c>
      <c r="F6" s="25">
        <f>SUMIFS($P$5:P5,$A$5:$A5,A6)</f>
        <v>0</v>
      </c>
      <c r="G6" s="25">
        <f>SUMIFS($Q$5:Q5,$A$5:$A5,A6)</f>
        <v>1</v>
      </c>
      <c r="H6" s="25">
        <f>SUMIFS($R$5:R5,$A$5:$A5,A6)</f>
        <v>1</v>
      </c>
      <c r="I6" s="25">
        <f>SUMIFS($S$5:S5,$A$5:$A5,A6)</f>
        <v>0</v>
      </c>
      <c r="J6" s="25">
        <f>SUMIFS($T$5:T5,$A$5:$A5,A6)</f>
        <v>0</v>
      </c>
      <c r="K6" s="25">
        <f>SUMIFS($U$5:U5,$A$5:$A5,A6)</f>
        <v>0</v>
      </c>
      <c r="L6" s="25">
        <f>SUMIFS($V$5:V5,$A$5:$A5,A6)</f>
        <v>0</v>
      </c>
      <c r="M6" s="27" t="s">
        <v>723</v>
      </c>
      <c r="N6" s="26" t="str">
        <f>IF(COUNTIF('07数值索引'!$A$5:$A$80,C6)=1,"PASS","CHECK")</f>
        <v>PASS</v>
      </c>
      <c r="O6" s="26">
        <f>SUMIF('07数值索引'!$A$5:$A$80,C6,'07数值索引'!$D$5:$D$80)</f>
        <v>0</v>
      </c>
      <c r="P6" s="26">
        <f>SUMIF('07数值索引'!$A$5:$A$80,C6,'07数值索引'!$E$5:$E$80)</f>
        <v>0</v>
      </c>
      <c r="Q6" s="26">
        <f>SUMIF('07数值索引'!$A$5:$A$80,C6,'07数值索引'!$F$5:$F$80)</f>
        <v>1</v>
      </c>
      <c r="R6" s="26">
        <f>SUMIF('07数值索引'!$A$5:$A$80,C6,'07数值索引'!$G$5:$G$80)</f>
        <v>0</v>
      </c>
      <c r="S6" s="26">
        <f>SUMIF('07数值索引'!$A$5:$A$80,C6,'07数值索引'!$M$5:$M$80)</f>
        <v>0</v>
      </c>
      <c r="T6" s="26">
        <f>SUMIF('07数值索引'!$A$5:$A$80,C6,'07数值索引'!$H$5:$H$80)</f>
        <v>0</v>
      </c>
      <c r="U6" s="26">
        <f>SUMIF('07数值索引'!$A$5:$A$80,C6,'07数值索引'!$I$5:$I$80)</f>
        <v>0</v>
      </c>
      <c r="V6" s="26">
        <f>SUMIF('07数值索引'!$A$5:$A$80,C6,'07数值索引'!$J$5:$J$80)</f>
        <v>0</v>
      </c>
      <c r="X6" s="26" t="s">
        <v>669</v>
      </c>
      <c r="Y6" s="26" t="s">
        <v>670</v>
      </c>
      <c r="Z6" s="26" t="str">
        <f t="shared" si="1"/>
        <v>PASS</v>
      </c>
    </row>
    <row r="7" ht="14.5" spans="1:26">
      <c r="A7" s="24" t="s">
        <v>666</v>
      </c>
      <c r="B7" s="25">
        <v>3</v>
      </c>
      <c r="C7" s="26" t="s">
        <v>159</v>
      </c>
      <c r="D7" s="26" t="str">
        <f>IFERROR(VLOOKUP(C7,'07数值索引'!$A$5:$S$80,19,FALSE),"未找到事件")</f>
        <v>要求沈婆起身并否认身份</v>
      </c>
      <c r="E7" s="25">
        <f>SUMIFS($O$5:O6,$A$5:$A6,A7)</f>
        <v>0</v>
      </c>
      <c r="F7" s="25">
        <f>SUMIFS($P$5:P6,$A$5:$A6,A7)</f>
        <v>0</v>
      </c>
      <c r="G7" s="25">
        <f>SUMIFS($Q$5:Q6,$A$5:$A6,A7)</f>
        <v>2</v>
      </c>
      <c r="H7" s="25">
        <f>SUMIFS($R$5:R6,$A$5:$A6,A7)</f>
        <v>1</v>
      </c>
      <c r="I7" s="25">
        <f>SUMIFS($S$5:S6,$A$5:$A6,A7)</f>
        <v>0</v>
      </c>
      <c r="J7" s="25">
        <f>SUMIFS($T$5:T6,$A$5:$A6,A7)</f>
        <v>0</v>
      </c>
      <c r="K7" s="25">
        <f>SUMIFS($U$5:U6,$A$5:$A6,A7)</f>
        <v>0</v>
      </c>
      <c r="L7" s="25">
        <f>SUMIFS($V$5:V6,$A$5:$A6,A7)</f>
        <v>0</v>
      </c>
      <c r="M7" s="27" t="s">
        <v>723</v>
      </c>
      <c r="N7" s="26" t="str">
        <f>IF(COUNTIF('07数值索引'!$A$5:$A$80,C7)=1,"PASS","CHECK")</f>
        <v>PASS</v>
      </c>
      <c r="O7" s="26">
        <f>SUMIF('07数值索引'!$A$5:$A$80,C7,'07数值索引'!$D$5:$D$80)</f>
        <v>0</v>
      </c>
      <c r="P7" s="26">
        <f>SUMIF('07数值索引'!$A$5:$A$80,C7,'07数值索引'!$E$5:$E$80)</f>
        <v>0</v>
      </c>
      <c r="Q7" s="26">
        <f>SUMIF('07数值索引'!$A$5:$A$80,C7,'07数值索引'!$F$5:$F$80)</f>
        <v>1</v>
      </c>
      <c r="R7" s="26">
        <f>SUMIF('07数值索引'!$A$5:$A$80,C7,'07数值索引'!$G$5:$G$80)</f>
        <v>0</v>
      </c>
      <c r="S7" s="26">
        <f>SUMIF('07数值索引'!$A$5:$A$80,C7,'07数值索引'!$M$5:$M$80)</f>
        <v>0</v>
      </c>
      <c r="T7" s="26">
        <f>SUMIF('07数值索引'!$A$5:$A$80,C7,'07数值索引'!$H$5:$H$80)</f>
        <v>0</v>
      </c>
      <c r="U7" s="26">
        <f>SUMIF('07数值索引'!$A$5:$A$80,C7,'07数值索引'!$I$5:$I$80)</f>
        <v>0</v>
      </c>
      <c r="V7" s="26">
        <f>SUMIF('07数值索引'!$A$5:$A$80,C7,'07数值索引'!$J$5:$J$80)</f>
        <v>0</v>
      </c>
      <c r="X7" s="26" t="s">
        <v>672</v>
      </c>
      <c r="Y7" s="26" t="s">
        <v>673</v>
      </c>
      <c r="Z7" s="26" t="str">
        <f t="shared" si="1"/>
        <v>PASS</v>
      </c>
    </row>
    <row r="8" ht="14.5" spans="1:26">
      <c r="A8" s="24" t="s">
        <v>666</v>
      </c>
      <c r="B8" s="25">
        <v>4</v>
      </c>
      <c r="C8" s="26" t="s">
        <v>242</v>
      </c>
      <c r="D8" s="26" t="str">
        <f>IFERROR(VLOOKUP(C8,'07数值索引'!$A$5:$S$80,19,FALSE),"未找到事件")</f>
        <v>两人先救伤者和孩子；骚乱暂缓，但无法解决整体饥荒</v>
      </c>
      <c r="E8" s="25">
        <f>SUMIFS($O$5:O7,$A$5:$A7,A8)</f>
        <v>0</v>
      </c>
      <c r="F8" s="25">
        <f>SUMIFS($P$5:P7,$A$5:$A7,A8)</f>
        <v>0</v>
      </c>
      <c r="G8" s="25">
        <f>SUMIFS($Q$5:Q7,$A$5:$A7,A8)</f>
        <v>3</v>
      </c>
      <c r="H8" s="25">
        <f>SUMIFS($R$5:R7,$A$5:$A7,A8)</f>
        <v>1</v>
      </c>
      <c r="I8" s="25">
        <f>SUMIFS($S$5:S7,$A$5:$A7,A8)</f>
        <v>0</v>
      </c>
      <c r="J8" s="25">
        <f>SUMIFS($T$5:T7,$A$5:$A7,A8)</f>
        <v>0</v>
      </c>
      <c r="K8" s="25">
        <f>SUMIFS($U$5:U7,$A$5:$A7,A8)</f>
        <v>0</v>
      </c>
      <c r="L8" s="25">
        <f>SUMIFS($V$5:V7,$A$5:$A7,A8)</f>
        <v>0</v>
      </c>
      <c r="M8" s="27" t="s">
        <v>723</v>
      </c>
      <c r="N8" s="26" t="str">
        <f>IF(COUNTIF('07数值索引'!$A$5:$A$80,C8)=1,"PASS","CHECK")</f>
        <v>PASS</v>
      </c>
      <c r="O8" s="26">
        <f>SUMIF('07数值索引'!$A$5:$A$80,C8,'07数值索引'!$D$5:$D$80)</f>
        <v>1</v>
      </c>
      <c r="P8" s="26">
        <f>SUMIF('07数值索引'!$A$5:$A$80,C8,'07数值索引'!$E$5:$E$80)</f>
        <v>0</v>
      </c>
      <c r="Q8" s="26">
        <f>SUMIF('07数值索引'!$A$5:$A$80,C8,'07数值索引'!$F$5:$F$80)</f>
        <v>1</v>
      </c>
      <c r="R8" s="26">
        <f>SUMIF('07数值索引'!$A$5:$A$80,C8,'07数值索引'!$G$5:$G$80)</f>
        <v>0</v>
      </c>
      <c r="S8" s="26">
        <f>SUMIF('07数值索引'!$A$5:$A$80,C8,'07数值索引'!$M$5:$M$80)</f>
        <v>0</v>
      </c>
      <c r="T8" s="26">
        <f>SUMIF('07数值索引'!$A$5:$A$80,C8,'07数值索引'!$H$5:$H$80)</f>
        <v>0</v>
      </c>
      <c r="U8" s="26">
        <f>SUMIF('07数值索引'!$A$5:$A$80,C8,'07数值索引'!$I$5:$I$80)</f>
        <v>0</v>
      </c>
      <c r="V8" s="26">
        <f>SUMIF('07数值索引'!$A$5:$A$80,C8,'07数值索引'!$J$5:$J$80)</f>
        <v>0</v>
      </c>
      <c r="X8" s="26" t="s">
        <v>675</v>
      </c>
      <c r="Y8" s="26" t="s">
        <v>676</v>
      </c>
      <c r="Z8" s="26" t="str">
        <f t="shared" si="1"/>
        <v>PASS</v>
      </c>
    </row>
    <row r="9" ht="14.5" spans="1:26">
      <c r="A9" s="24" t="s">
        <v>666</v>
      </c>
      <c r="B9" s="25">
        <v>5</v>
      </c>
      <c r="C9" s="26" t="s">
        <v>187</v>
      </c>
      <c r="D9" s="26" t="str">
        <f>IFERROR(VLOOKUP(C9,'07数值索引'!$A$5:$S$80,19,FALSE),"未找到事件")</f>
        <v>沉默并交出名单</v>
      </c>
      <c r="E9" s="25">
        <f>SUMIFS($O$5:O8,$A$5:$A8,A9)</f>
        <v>1</v>
      </c>
      <c r="F9" s="25">
        <f>SUMIFS($P$5:P8,$A$5:$A8,A9)</f>
        <v>0</v>
      </c>
      <c r="G9" s="25">
        <f>SUMIFS($Q$5:Q8,$A$5:$A8,A9)</f>
        <v>4</v>
      </c>
      <c r="H9" s="25">
        <f>SUMIFS($R$5:R8,$A$5:$A8,A9)</f>
        <v>1</v>
      </c>
      <c r="I9" s="25">
        <f>SUMIFS($S$5:S8,$A$5:$A8,A9)</f>
        <v>0</v>
      </c>
      <c r="J9" s="25">
        <f>SUMIFS($T$5:T8,$A$5:$A8,A9)</f>
        <v>0</v>
      </c>
      <c r="K9" s="25">
        <f>SUMIFS($U$5:U8,$A$5:$A8,A9)</f>
        <v>0</v>
      </c>
      <c r="L9" s="25">
        <f>SUMIFS($V$5:V8,$A$5:$A8,A9)</f>
        <v>0</v>
      </c>
      <c r="M9" s="27" t="s">
        <v>723</v>
      </c>
      <c r="N9" s="26" t="str">
        <f>IF(COUNTIF('07数值索引'!$A$5:$A$80,C9)=1,"PASS","CHECK")</f>
        <v>PASS</v>
      </c>
      <c r="O9" s="26">
        <f>SUMIF('07数值索引'!$A$5:$A$80,C9,'07数值索引'!$D$5:$D$80)</f>
        <v>2</v>
      </c>
      <c r="P9" s="26">
        <f>SUMIF('07数值索引'!$A$5:$A$80,C9,'07数值索引'!$E$5:$E$80)</f>
        <v>0</v>
      </c>
      <c r="Q9" s="26">
        <f>SUMIF('07数值索引'!$A$5:$A$80,C9,'07数值索引'!$F$5:$F$80)</f>
        <v>1</v>
      </c>
      <c r="R9" s="26">
        <f>SUMIF('07数值索引'!$A$5:$A$80,C9,'07数值索引'!$G$5:$G$80)</f>
        <v>0</v>
      </c>
      <c r="S9" s="26">
        <f>SUMIF('07数值索引'!$A$5:$A$80,C9,'07数值索引'!$M$5:$M$80)</f>
        <v>0</v>
      </c>
      <c r="T9" s="26">
        <f>SUMIF('07数值索引'!$A$5:$A$80,C9,'07数值索引'!$H$5:$H$80)</f>
        <v>0</v>
      </c>
      <c r="U9" s="26">
        <f>SUMIF('07数值索引'!$A$5:$A$80,C9,'07数值索引'!$I$5:$I$80)</f>
        <v>0</v>
      </c>
      <c r="V9" s="26">
        <f>SUMIF('07数值索引'!$A$5:$A$80,C9,'07数值索引'!$J$5:$J$80)</f>
        <v>0</v>
      </c>
      <c r="X9" s="26" t="s">
        <v>678</v>
      </c>
      <c r="Y9" s="26" t="s">
        <v>679</v>
      </c>
      <c r="Z9" s="26" t="str">
        <f t="shared" si="1"/>
        <v>PASS</v>
      </c>
    </row>
    <row r="10" ht="14.5" spans="1:26">
      <c r="A10" s="24" t="s">
        <v>666</v>
      </c>
      <c r="B10" s="25">
        <v>6</v>
      </c>
      <c r="C10" s="26" t="s">
        <v>191</v>
      </c>
      <c r="D10" s="26" t="str">
        <f>IFERROR(VLOOKUP(C10,'07数值索引'!$A$5:$S$80,19,FALSE),"未找到事件")</f>
        <v>完整承认由自己提出并下令划名</v>
      </c>
      <c r="E10" s="25">
        <f>SUMIFS($O$5:O9,$A$5:$A9,A10)</f>
        <v>3</v>
      </c>
      <c r="F10" s="25">
        <f>SUMIFS($P$5:P9,$A$5:$A9,A10)</f>
        <v>0</v>
      </c>
      <c r="G10" s="25">
        <f>SUMIFS($Q$5:Q9,$A$5:$A9,A10)</f>
        <v>5</v>
      </c>
      <c r="H10" s="25">
        <f>SUMIFS($R$5:R9,$A$5:$A9,A10)</f>
        <v>1</v>
      </c>
      <c r="I10" s="25">
        <f>SUMIFS($S$5:S9,$A$5:$A9,A10)</f>
        <v>0</v>
      </c>
      <c r="J10" s="25">
        <f>SUMIFS($T$5:T9,$A$5:$A9,A10)</f>
        <v>0</v>
      </c>
      <c r="K10" s="25">
        <f>SUMIFS($U$5:U9,$A$5:$A9,A10)</f>
        <v>0</v>
      </c>
      <c r="L10" s="25">
        <f>SUMIFS($V$5:V9,$A$5:$A9,A10)</f>
        <v>0</v>
      </c>
      <c r="M10" s="27" t="s">
        <v>723</v>
      </c>
      <c r="N10" s="26" t="str">
        <f>IF(COUNTIF('07数值索引'!$A$5:$A$80,C10)=1,"PASS","CHECK")</f>
        <v>PASS</v>
      </c>
      <c r="O10" s="26">
        <f>SUMIF('07数值索引'!$A$5:$A$80,C10,'07数值索引'!$D$5:$D$80)</f>
        <v>3</v>
      </c>
      <c r="P10" s="26">
        <f>SUMIF('07数值索引'!$A$5:$A$80,C10,'07数值索引'!$E$5:$E$80)</f>
        <v>0</v>
      </c>
      <c r="Q10" s="26">
        <f>SUMIF('07数值索引'!$A$5:$A$80,C10,'07数值索引'!$F$5:$F$80)</f>
        <v>1</v>
      </c>
      <c r="R10" s="26">
        <f>SUMIF('07数值索引'!$A$5:$A$80,C10,'07数值索引'!$G$5:$G$80)</f>
        <v>0</v>
      </c>
      <c r="S10" s="26">
        <f>SUMIF('07数值索引'!$A$5:$A$80,C10,'07数值索引'!$M$5:$M$80)</f>
        <v>0</v>
      </c>
      <c r="T10" s="26">
        <f>SUMIF('07数值索引'!$A$5:$A$80,C10,'07数值索引'!$H$5:$H$80)</f>
        <v>0</v>
      </c>
      <c r="U10" s="26">
        <f>SUMIF('07数值索引'!$A$5:$A$80,C10,'07数值索引'!$I$5:$I$80)</f>
        <v>0</v>
      </c>
      <c r="V10" s="26">
        <f>SUMIF('07数值索引'!$A$5:$A$80,C10,'07数值索引'!$J$5:$J$80)</f>
        <v>0</v>
      </c>
      <c r="X10" s="26" t="s">
        <v>681</v>
      </c>
      <c r="Y10" s="26" t="s">
        <v>682</v>
      </c>
      <c r="Z10" s="26" t="str">
        <f t="shared" si="1"/>
        <v>PASS</v>
      </c>
    </row>
    <row r="11" ht="14.5" spans="1:26">
      <c r="A11" s="24" t="s">
        <v>666</v>
      </c>
      <c r="B11" s="25">
        <v>7</v>
      </c>
      <c r="C11" s="26" t="s">
        <v>441</v>
      </c>
      <c r="D11" s="26" t="str">
        <f>IFERROR(VLOOKUP(C11,'07数值索引'!$A$5:$S$80,19,FALSE),"未找到事件")</f>
        <v>罪行离开主角控制，由受害者决定如何使用</v>
      </c>
      <c r="E11" s="25">
        <f>SUMIFS($O$5:O10,$A$5:$A10,A11)</f>
        <v>6</v>
      </c>
      <c r="F11" s="25">
        <f>SUMIFS($P$5:P10,$A$5:$A10,A11)</f>
        <v>0</v>
      </c>
      <c r="G11" s="25">
        <f>SUMIFS($Q$5:Q10,$A$5:$A10,A11)</f>
        <v>6</v>
      </c>
      <c r="H11" s="25">
        <f>SUMIFS($R$5:R10,$A$5:$A10,A11)</f>
        <v>1</v>
      </c>
      <c r="I11" s="25">
        <f>SUMIFS($S$5:S10,$A$5:$A10,A11)</f>
        <v>0</v>
      </c>
      <c r="J11" s="25">
        <f>SUMIFS($T$5:T10,$A$5:$A10,A11)</f>
        <v>0</v>
      </c>
      <c r="K11" s="25">
        <f>SUMIFS($U$5:U10,$A$5:$A10,A11)</f>
        <v>0</v>
      </c>
      <c r="L11" s="25">
        <f>SUMIFS($V$5:V10,$A$5:$A10,A11)</f>
        <v>0</v>
      </c>
      <c r="M11" s="27" t="s">
        <v>724</v>
      </c>
      <c r="N11" s="26" t="str">
        <f>IF(AND(COUNTIF('07数值索引'!$A$5:$A$80,C11)=1,OR(G11&gt;=4,AND(G11&gt;=1,G11&lt;=3,OR(COUNTIFS($A$5:$A10,A11,$C$5:$C10,"S04-A04")&gt;0,COUNTIFS($A$5:$A10,A11,$C$5:$C10,"S04-B01")&gt;0)))),"PASS","CHECK")</f>
        <v>PASS</v>
      </c>
      <c r="O11" s="26">
        <f>SUMIF('07数值索引'!$A$5:$A$80,C11,'07数值索引'!$D$5:$D$80)</f>
        <v>2</v>
      </c>
      <c r="P11" s="26">
        <f>SUMIF('07数值索引'!$A$5:$A$80,C11,'07数值索引'!$E$5:$E$80)</f>
        <v>0</v>
      </c>
      <c r="Q11" s="26">
        <f>SUMIF('07数值索引'!$A$5:$A$80,C11,'07数值索引'!$F$5:$F$80)</f>
        <v>1</v>
      </c>
      <c r="R11" s="26">
        <f>SUMIF('07数值索引'!$A$5:$A$80,C11,'07数值索引'!$G$5:$G$80)</f>
        <v>0</v>
      </c>
      <c r="S11" s="26">
        <f>SUMIF('07数值索引'!$A$5:$A$80,C11,'07数值索引'!$M$5:$M$80)</f>
        <v>0</v>
      </c>
      <c r="T11" s="26">
        <f>SUMIF('07数值索引'!$A$5:$A$80,C11,'07数值索引'!$H$5:$H$80)</f>
        <v>1</v>
      </c>
      <c r="U11" s="26">
        <f>SUMIF('07数值索引'!$A$5:$A$80,C11,'07数值索引'!$I$5:$I$80)</f>
        <v>0</v>
      </c>
      <c r="V11" s="26">
        <f>SUMIF('07数值索引'!$A$5:$A$80,C11,'07数值索引'!$J$5:$J$80)</f>
        <v>0</v>
      </c>
      <c r="X11" s="26" t="s">
        <v>684</v>
      </c>
      <c r="Y11" s="26" t="s">
        <v>685</v>
      </c>
      <c r="Z11" s="26" t="str">
        <f t="shared" si="1"/>
        <v>PASS</v>
      </c>
    </row>
    <row r="12" ht="14.5" spans="1:26">
      <c r="A12" s="24" t="s">
        <v>666</v>
      </c>
      <c r="B12" s="25">
        <v>8</v>
      </c>
      <c r="C12" s="26" t="s">
        <v>457</v>
      </c>
      <c r="D12" s="26" t="str">
        <f>IFERROR(VLOOKUP(C12,'07数值索引'!$A$5:$S$80,19,FALSE),"未找到事件")</f>
        <v>在阿禾已接受账簿的前提下，将密函也交由她决定</v>
      </c>
      <c r="E12" s="25">
        <f>SUMIFS($O$5:O11,$A$5:$A11,A12)</f>
        <v>8</v>
      </c>
      <c r="F12" s="25">
        <f>SUMIFS($P$5:P11,$A$5:$A11,A12)</f>
        <v>0</v>
      </c>
      <c r="G12" s="25">
        <f>SUMIFS($Q$5:Q11,$A$5:$A11,A12)</f>
        <v>7</v>
      </c>
      <c r="H12" s="25">
        <f>SUMIFS($R$5:R11,$A$5:$A11,A12)</f>
        <v>1</v>
      </c>
      <c r="I12" s="25">
        <f>SUMIFS($S$5:S11,$A$5:$A11,A12)</f>
        <v>0</v>
      </c>
      <c r="J12" s="25">
        <f>SUMIFS($T$5:T11,$A$5:$A11,A12)</f>
        <v>1</v>
      </c>
      <c r="K12" s="25">
        <f>SUMIFS($U$5:U11,$A$5:$A11,A12)</f>
        <v>0</v>
      </c>
      <c r="L12" s="25">
        <f>SUMIFS($V$5:V11,$A$5:$A11,A12)</f>
        <v>0</v>
      </c>
      <c r="M12" s="27" t="s">
        <v>725</v>
      </c>
      <c r="N12" s="26" t="str">
        <f>IF(AND(COUNTIF('07数值索引'!$A$5:$A$80,C12)=1,COUNTIFS($A$5:$A11,A12,$C$5:$C11,"K-LDG-AHE")&gt;0),"PASS","CHECK")</f>
        <v>PASS</v>
      </c>
      <c r="O12" s="26">
        <f>SUMIF('07数值索引'!$A$5:$A$80,C12,'07数值索引'!$D$5:$D$80)</f>
        <v>2</v>
      </c>
      <c r="P12" s="26">
        <f>SUMIF('07数值索引'!$A$5:$A$80,C12,'07数值索引'!$E$5:$E$80)</f>
        <v>0</v>
      </c>
      <c r="Q12" s="26">
        <f>SUMIF('07数值索引'!$A$5:$A$80,C12,'07数值索引'!$F$5:$F$80)</f>
        <v>1</v>
      </c>
      <c r="R12" s="26">
        <f>SUMIF('07数值索引'!$A$5:$A$80,C12,'07数值索引'!$G$5:$G$80)</f>
        <v>0</v>
      </c>
      <c r="S12" s="26">
        <f>SUMIF('07数值索引'!$A$5:$A$80,C12,'07数值索引'!$M$5:$M$80)</f>
        <v>0</v>
      </c>
      <c r="T12" s="26">
        <f>SUMIF('07数值索引'!$A$5:$A$80,C12,'07数值索引'!$H$5:$H$80)</f>
        <v>1</v>
      </c>
      <c r="U12" s="26">
        <f>SUMIF('07数值索引'!$A$5:$A$80,C12,'07数值索引'!$I$5:$I$80)</f>
        <v>0</v>
      </c>
      <c r="V12" s="26">
        <f>SUMIF('07数值索引'!$A$5:$A$80,C12,'07数值索引'!$J$5:$J$80)</f>
        <v>0</v>
      </c>
      <c r="X12" s="26" t="s">
        <v>687</v>
      </c>
      <c r="Y12" s="26" t="s">
        <v>688</v>
      </c>
      <c r="Z12" s="26" t="str">
        <f t="shared" si="1"/>
        <v>PASS</v>
      </c>
    </row>
    <row r="13" ht="14.5" spans="1:26">
      <c r="A13" s="24" t="s">
        <v>666</v>
      </c>
      <c r="B13" s="25">
        <v>9</v>
      </c>
      <c r="C13" s="26" t="s">
        <v>469</v>
      </c>
      <c r="D13" s="26" t="str">
        <f>IFERROR(VLOOKUP(C13,'07数值索引'!$A$5:$S$80,19,FALSE),"未找到事件")</f>
        <v>赃款成为迟到的补偿，但不兑换宽恕</v>
      </c>
      <c r="E13" s="25">
        <f>SUMIFS($O$5:O12,$A$5:$A12,A13)</f>
        <v>10</v>
      </c>
      <c r="F13" s="25">
        <f>SUMIFS($P$5:P12,$A$5:$A12,A13)</f>
        <v>0</v>
      </c>
      <c r="G13" s="25">
        <f>SUMIFS($Q$5:Q12,$A$5:$A12,A13)</f>
        <v>8</v>
      </c>
      <c r="H13" s="25">
        <f>SUMIFS($R$5:R12,$A$5:$A12,A13)</f>
        <v>1</v>
      </c>
      <c r="I13" s="25">
        <f>SUMIFS($S$5:S12,$A$5:$A12,A13)</f>
        <v>0</v>
      </c>
      <c r="J13" s="25">
        <f>SUMIFS($T$5:T12,$A$5:$A12,A13)</f>
        <v>2</v>
      </c>
      <c r="K13" s="25">
        <f>SUMIFS($U$5:U12,$A$5:$A12,A13)</f>
        <v>0</v>
      </c>
      <c r="L13" s="25">
        <f>SUMIFS($V$5:V12,$A$5:$A12,A13)</f>
        <v>0</v>
      </c>
      <c r="M13" s="27" t="s">
        <v>723</v>
      </c>
      <c r="N13" s="26" t="str">
        <f>IF(COUNTIF('07数值索引'!$A$5:$A$80,C13)=1,"PASS","CHECK")</f>
        <v>PASS</v>
      </c>
      <c r="O13" s="26">
        <f>SUMIF('07数值索引'!$A$5:$A$80,C13,'07数值索引'!$D$5:$D$80)</f>
        <v>2</v>
      </c>
      <c r="P13" s="26">
        <f>SUMIF('07数值索引'!$A$5:$A$80,C13,'07数值索引'!$E$5:$E$80)</f>
        <v>0</v>
      </c>
      <c r="Q13" s="26">
        <f>SUMIF('07数值索引'!$A$5:$A$80,C13,'07数值索引'!$F$5:$F$80)</f>
        <v>1</v>
      </c>
      <c r="R13" s="26">
        <f>SUMIF('07数值索引'!$A$5:$A$80,C13,'07数值索引'!$G$5:$G$80)</f>
        <v>0</v>
      </c>
      <c r="S13" s="26">
        <f>SUMIF('07数值索引'!$A$5:$A$80,C13,'07数值索引'!$M$5:$M$80)</f>
        <v>0</v>
      </c>
      <c r="T13" s="26">
        <f>SUMIF('07数值索引'!$A$5:$A$80,C13,'07数值索引'!$H$5:$H$80)</f>
        <v>0</v>
      </c>
      <c r="U13" s="26">
        <f>SUMIF('07数值索引'!$A$5:$A$80,C13,'07数值索引'!$I$5:$I$80)</f>
        <v>0</v>
      </c>
      <c r="V13" s="26">
        <f>SUMIF('07数值索引'!$A$5:$A$80,C13,'07数值索引'!$J$5:$J$80)</f>
        <v>0</v>
      </c>
      <c r="X13" s="26" t="s">
        <v>691</v>
      </c>
      <c r="Y13" s="26" t="s">
        <v>692</v>
      </c>
      <c r="Z13" s="26" t="str">
        <f t="shared" si="1"/>
        <v>PASS</v>
      </c>
    </row>
    <row r="14" ht="14.5" spans="1:26">
      <c r="A14" s="24" t="s">
        <v>666</v>
      </c>
      <c r="B14" s="25">
        <v>10</v>
      </c>
      <c r="C14" s="26" t="s">
        <v>479</v>
      </c>
      <c r="D14" s="26" t="str">
        <f>IFERROR(VLOOKUP(C14,'07数值索引'!$A$5:$S$80,19,FALSE),"未找到事件")</f>
        <v>主动关闭最便利的旧权力入口</v>
      </c>
      <c r="E14" s="25">
        <f>SUMIFS($O$5:O13,$A$5:$A13,A14)</f>
        <v>12</v>
      </c>
      <c r="F14" s="25">
        <f>SUMIFS($P$5:P13,$A$5:$A13,A14)</f>
        <v>0</v>
      </c>
      <c r="G14" s="25">
        <f>SUMIFS($Q$5:Q13,$A$5:$A13,A14)</f>
        <v>9</v>
      </c>
      <c r="H14" s="25">
        <f>SUMIFS($R$5:R13,$A$5:$A13,A14)</f>
        <v>1</v>
      </c>
      <c r="I14" s="25">
        <f>SUMIFS($S$5:S13,$A$5:$A13,A14)</f>
        <v>0</v>
      </c>
      <c r="J14" s="25">
        <f>SUMIFS($T$5:T13,$A$5:$A13,A14)</f>
        <v>2</v>
      </c>
      <c r="K14" s="25">
        <f>SUMIFS($U$5:U13,$A$5:$A13,A14)</f>
        <v>0</v>
      </c>
      <c r="L14" s="25">
        <f>SUMIFS($V$5:V13,$A$5:$A13,A14)</f>
        <v>0</v>
      </c>
      <c r="M14" s="27" t="s">
        <v>723</v>
      </c>
      <c r="N14" s="26" t="str">
        <f>IF(COUNTIF('07数值索引'!$A$5:$A$80,C14)=1,"PASS","CHECK")</f>
        <v>PASS</v>
      </c>
      <c r="O14" s="26">
        <f>SUMIF('07数值索引'!$A$5:$A$80,C14,'07数值索引'!$D$5:$D$80)</f>
        <v>2</v>
      </c>
      <c r="P14" s="26">
        <f>SUMIF('07数值索引'!$A$5:$A$80,C14,'07数值索引'!$E$5:$E$80)</f>
        <v>-1</v>
      </c>
      <c r="Q14" s="26">
        <f>SUMIF('07数值索引'!$A$5:$A$80,C14,'07数值索引'!$F$5:$F$80)</f>
        <v>1</v>
      </c>
      <c r="R14" s="26">
        <f>SUMIF('07数值索引'!$A$5:$A$80,C14,'07数值索引'!$G$5:$G$80)</f>
        <v>0</v>
      </c>
      <c r="S14" s="26">
        <f>SUMIF('07数值索引'!$A$5:$A$80,C14,'07数值索引'!$M$5:$M$80)</f>
        <v>0</v>
      </c>
      <c r="T14" s="26">
        <f>SUMIF('07数值索引'!$A$5:$A$80,C14,'07数值索引'!$H$5:$H$80)</f>
        <v>0</v>
      </c>
      <c r="U14" s="26">
        <f>SUMIF('07数值索引'!$A$5:$A$80,C14,'07数值索引'!$I$5:$I$80)</f>
        <v>0</v>
      </c>
      <c r="V14" s="26">
        <f>SUMIF('07数值索引'!$A$5:$A$80,C14,'07数值索引'!$J$5:$J$80)</f>
        <v>0</v>
      </c>
      <c r="X14" s="26" t="s">
        <v>694</v>
      </c>
      <c r="Y14" s="26" t="s">
        <v>695</v>
      </c>
      <c r="Z14" s="26" t="str">
        <f t="shared" si="1"/>
        <v>PASS</v>
      </c>
    </row>
    <row r="15" ht="14.5" spans="1:26">
      <c r="A15" s="24" t="s">
        <v>666</v>
      </c>
      <c r="B15" s="25">
        <v>11</v>
      </c>
      <c r="C15" s="26" t="s">
        <v>586</v>
      </c>
      <c r="D15" s="26" t="str">
        <f>IFERROR(VLOOKUP(C15,'07数值索引'!$A$5:$S$80,19,FALSE),"未找到事件")</f>
        <v>魏先进入县城，所有路线固定增加一次追捕压力</v>
      </c>
      <c r="E15" s="25">
        <f>SUMIFS($O$5:O14,$A$5:$A14,A15)</f>
        <v>14</v>
      </c>
      <c r="F15" s="25">
        <f>SUMIFS($P$5:P14,$A$5:$A14,A15)</f>
        <v>-1</v>
      </c>
      <c r="G15" s="25">
        <f>SUMIFS($Q$5:Q14,$A$5:$A14,A15)</f>
        <v>10</v>
      </c>
      <c r="H15" s="25">
        <f>SUMIFS($R$5:R14,$A$5:$A14,A15)</f>
        <v>1</v>
      </c>
      <c r="I15" s="25">
        <f>SUMIFS($S$5:S14,$A$5:$A14,A15)</f>
        <v>0</v>
      </c>
      <c r="J15" s="25">
        <f>SUMIFS($T$5:T14,$A$5:$A14,A15)</f>
        <v>2</v>
      </c>
      <c r="K15" s="25">
        <f>SUMIFS($U$5:U14,$A$5:$A14,A15)</f>
        <v>0</v>
      </c>
      <c r="L15" s="25">
        <f>SUMIFS($V$5:V14,$A$5:$A14,A15)</f>
        <v>0</v>
      </c>
      <c r="M15" s="27" t="s">
        <v>723</v>
      </c>
      <c r="N15" s="26" t="str">
        <f>IF(COUNTIF('07数值索引'!$A$5:$A$80,C15)=1,"PASS","CHECK")</f>
        <v>PASS</v>
      </c>
      <c r="O15" s="26">
        <f>SUMIF('07数值索引'!$A$5:$A$80,C15,'07数值索引'!$D$5:$D$80)</f>
        <v>0</v>
      </c>
      <c r="P15" s="26">
        <f>SUMIF('07数值索引'!$A$5:$A$80,C15,'07数值索引'!$E$5:$E$80)</f>
        <v>0</v>
      </c>
      <c r="Q15" s="26">
        <f>SUMIF('07数值索引'!$A$5:$A$80,C15,'07数值索引'!$F$5:$F$80)</f>
        <v>0</v>
      </c>
      <c r="R15" s="26">
        <f>SUMIF('07数值索引'!$A$5:$A$80,C15,'07数值索引'!$G$5:$G$80)</f>
        <v>1</v>
      </c>
      <c r="S15" s="26">
        <f>SUMIF('07数值索引'!$A$5:$A$80,C15,'07数值索引'!$M$5:$M$80)</f>
        <v>0</v>
      </c>
      <c r="T15" s="26">
        <f>SUMIF('07数值索引'!$A$5:$A$80,C15,'07数值索引'!$H$5:$H$80)</f>
        <v>0</v>
      </c>
      <c r="U15" s="26">
        <f>SUMIF('07数值索引'!$A$5:$A$80,C15,'07数值索引'!$I$5:$I$80)</f>
        <v>0</v>
      </c>
      <c r="V15" s="26">
        <f>SUMIF('07数值索引'!$A$5:$A$80,C15,'07数值索引'!$J$5:$J$80)</f>
        <v>0</v>
      </c>
      <c r="X15" s="26" t="s">
        <v>697</v>
      </c>
      <c r="Y15" s="26" t="s">
        <v>698</v>
      </c>
      <c r="Z15" s="26" t="str">
        <f t="shared" si="1"/>
        <v>PASS</v>
      </c>
    </row>
    <row r="16" ht="14.5" spans="1:26">
      <c r="A16" s="24" t="s">
        <v>666</v>
      </c>
      <c r="B16" s="25">
        <v>12</v>
      </c>
      <c r="C16" s="26" t="s">
        <v>209</v>
      </c>
      <c r="D16" s="26" t="str">
        <f>IFERROR(VLOOKUP(C16,'07数值索引'!$A$5:$S$80,19,FALSE),"未找到事件")</f>
        <v>让阿禾带证据先走，阿芸留下拖住追兵</v>
      </c>
      <c r="E16" s="25">
        <f>SUMIFS($O$5:O15,$A$5:$A15,A16)</f>
        <v>14</v>
      </c>
      <c r="F16" s="25">
        <f>SUMIFS($P$5:P15,$A$5:$A15,A16)</f>
        <v>-1</v>
      </c>
      <c r="G16" s="25">
        <f>SUMIFS($Q$5:Q15,$A$5:$A15,A16)</f>
        <v>10</v>
      </c>
      <c r="H16" s="25">
        <f>SUMIFS($R$5:R15,$A$5:$A15,A16)</f>
        <v>2</v>
      </c>
      <c r="I16" s="25">
        <f>SUMIFS($S$5:S15,$A$5:$A15,A16)</f>
        <v>0</v>
      </c>
      <c r="J16" s="25">
        <f>SUMIFS($T$5:T15,$A$5:$A15,A16)</f>
        <v>2</v>
      </c>
      <c r="K16" s="25">
        <f>SUMIFS($U$5:U15,$A$5:$A15,A16)</f>
        <v>0</v>
      </c>
      <c r="L16" s="25">
        <f>SUMIFS($V$5:V15,$A$5:$A15,A16)</f>
        <v>0</v>
      </c>
      <c r="M16" s="27" t="s">
        <v>723</v>
      </c>
      <c r="N16" s="26" t="str">
        <f>IF(COUNTIF('07数值索引'!$A$5:$A$80,C16)=1,"PASS","CHECK")</f>
        <v>PASS</v>
      </c>
      <c r="O16" s="26">
        <f>SUMIF('07数值索引'!$A$5:$A$80,C16,'07数值索引'!$D$5:$D$80)</f>
        <v>2</v>
      </c>
      <c r="P16" s="26">
        <f>SUMIF('07数值索引'!$A$5:$A$80,C16,'07数值索引'!$E$5:$E$80)</f>
        <v>0</v>
      </c>
      <c r="Q16" s="26">
        <f>SUMIF('07数值索引'!$A$5:$A$80,C16,'07数值索引'!$F$5:$F$80)</f>
        <v>2</v>
      </c>
      <c r="R16" s="26">
        <f>SUMIF('07数值索引'!$A$5:$A$80,C16,'07数值索引'!$G$5:$G$80)</f>
        <v>3</v>
      </c>
      <c r="S16" s="26">
        <f>SUMIF('07数值索引'!$A$5:$A$80,C16,'07数值索引'!$M$5:$M$80)</f>
        <v>0</v>
      </c>
      <c r="T16" s="26">
        <f>SUMIF('07数值索引'!$A$5:$A$80,C16,'07数值索引'!$H$5:$H$80)</f>
        <v>0</v>
      </c>
      <c r="U16" s="26">
        <f>SUMIF('07数值索引'!$A$5:$A$80,C16,'07数值索引'!$I$5:$I$80)</f>
        <v>0</v>
      </c>
      <c r="V16" s="26">
        <f>SUMIF('07数值索引'!$A$5:$A$80,C16,'07数值索引'!$J$5:$J$80)</f>
        <v>0</v>
      </c>
    </row>
    <row r="17" ht="14.5" spans="1:22">
      <c r="A17" s="24" t="s">
        <v>669</v>
      </c>
      <c r="B17" s="25">
        <v>1</v>
      </c>
      <c r="C17" s="26" t="s">
        <v>582</v>
      </c>
      <c r="D17" s="26" t="str">
        <f>IFERROR(VLOOKUP(C17,'07数值索引'!$A$5:$S$80,19,FALSE),"未找到事件")</f>
        <v>阿禾因救人而保留最低限度善意；追兵已在沿河搜索</v>
      </c>
      <c r="E17" s="25">
        <f t="shared" ref="E17:L17" si="2">0</f>
        <v>0</v>
      </c>
      <c r="F17" s="25">
        <f t="shared" si="2"/>
        <v>0</v>
      </c>
      <c r="G17" s="25">
        <f t="shared" si="2"/>
        <v>0</v>
      </c>
      <c r="H17" s="25">
        <f t="shared" si="2"/>
        <v>0</v>
      </c>
      <c r="I17" s="25">
        <f t="shared" si="2"/>
        <v>0</v>
      </c>
      <c r="J17" s="25">
        <f t="shared" si="2"/>
        <v>0</v>
      </c>
      <c r="K17" s="25">
        <f t="shared" si="2"/>
        <v>0</v>
      </c>
      <c r="L17" s="25">
        <f t="shared" si="2"/>
        <v>0</v>
      </c>
      <c r="M17" s="27" t="s">
        <v>723</v>
      </c>
      <c r="N17" s="26" t="str">
        <f>IF(COUNTIF('07数值索引'!$A$5:$A$80,C17)=1,"PASS","CHECK")</f>
        <v>PASS</v>
      </c>
      <c r="O17" s="26">
        <f>SUMIF('07数值索引'!$A$5:$A$80,C17,'07数值索引'!$D$5:$D$80)</f>
        <v>0</v>
      </c>
      <c r="P17" s="26">
        <f>SUMIF('07数值索引'!$A$5:$A$80,C17,'07数值索引'!$E$5:$E$80)</f>
        <v>0</v>
      </c>
      <c r="Q17" s="26">
        <f>SUMIF('07数值索引'!$A$5:$A$80,C17,'07数值索引'!$F$5:$F$80)</f>
        <v>1</v>
      </c>
      <c r="R17" s="26">
        <f>SUMIF('07数值索引'!$A$5:$A$80,C17,'07数值索引'!$G$5:$G$80)</f>
        <v>1</v>
      </c>
      <c r="S17" s="26">
        <f>SUMIF('07数值索引'!$A$5:$A$80,C17,'07数值索引'!$M$5:$M$80)</f>
        <v>0</v>
      </c>
      <c r="T17" s="26">
        <f>SUMIF('07数值索引'!$A$5:$A$80,C17,'07数值索引'!$H$5:$H$80)</f>
        <v>0</v>
      </c>
      <c r="U17" s="26">
        <f>SUMIF('07数值索引'!$A$5:$A$80,C17,'07数值索引'!$I$5:$I$80)</f>
        <v>0</v>
      </c>
      <c r="V17" s="26">
        <f>SUMIF('07数值索引'!$A$5:$A$80,C17,'07数值索引'!$J$5:$J$80)</f>
        <v>0</v>
      </c>
    </row>
    <row r="18" ht="14.5" spans="1:22">
      <c r="A18" s="24" t="s">
        <v>669</v>
      </c>
      <c r="B18" s="25">
        <v>2</v>
      </c>
      <c r="C18" s="26" t="s">
        <v>155</v>
      </c>
      <c r="D18" s="26" t="str">
        <f>IFERROR(VLOOKUP(C18,'07数值索引'!$A$5:$S$80,19,FALSE),"未找到事件")</f>
        <v>试探阿禾会不会交人</v>
      </c>
      <c r="E18" s="25">
        <f>SUMIFS($O$5:O17,$A$5:$A17,A18)</f>
        <v>0</v>
      </c>
      <c r="F18" s="25">
        <f>SUMIFS($P$5:P17,$A$5:$A17,A18)</f>
        <v>0</v>
      </c>
      <c r="G18" s="25">
        <f>SUMIFS($Q$5:Q17,$A$5:$A17,A18)</f>
        <v>1</v>
      </c>
      <c r="H18" s="25">
        <f>SUMIFS($R$5:R17,$A$5:$A17,A18)</f>
        <v>1</v>
      </c>
      <c r="I18" s="25">
        <f>SUMIFS($S$5:S17,$A$5:$A17,A18)</f>
        <v>0</v>
      </c>
      <c r="J18" s="25">
        <f>SUMIFS($T$5:T17,$A$5:$A17,A18)</f>
        <v>0</v>
      </c>
      <c r="K18" s="25">
        <f>SUMIFS($U$5:U17,$A$5:$A17,A18)</f>
        <v>0</v>
      </c>
      <c r="L18" s="25">
        <f>SUMIFS($V$5:V17,$A$5:$A17,A18)</f>
        <v>0</v>
      </c>
      <c r="M18" s="27" t="s">
        <v>723</v>
      </c>
      <c r="N18" s="26" t="str">
        <f>IF(COUNTIF('07数值索引'!$A$5:$A$80,C18)=1,"PASS","CHECK")</f>
        <v>PASS</v>
      </c>
      <c r="O18" s="26">
        <f>SUMIF('07数值索引'!$A$5:$A$80,C18,'07数值索引'!$D$5:$D$80)</f>
        <v>0</v>
      </c>
      <c r="P18" s="26">
        <f>SUMIF('07数值索引'!$A$5:$A$80,C18,'07数值索引'!$E$5:$E$80)</f>
        <v>0</v>
      </c>
      <c r="Q18" s="26">
        <f>SUMIF('07数值索引'!$A$5:$A$80,C18,'07数值索引'!$F$5:$F$80)</f>
        <v>0</v>
      </c>
      <c r="R18" s="26">
        <f>SUMIF('07数值索引'!$A$5:$A$80,C18,'07数值索引'!$G$5:$G$80)</f>
        <v>0</v>
      </c>
      <c r="S18" s="26">
        <f>SUMIF('07数值索引'!$A$5:$A$80,C18,'07数值索引'!$M$5:$M$80)</f>
        <v>0</v>
      </c>
      <c r="T18" s="26">
        <f>SUMIF('07数值索引'!$A$5:$A$80,C18,'07数值索引'!$H$5:$H$80)</f>
        <v>0</v>
      </c>
      <c r="U18" s="26">
        <f>SUMIF('07数值索引'!$A$5:$A$80,C18,'07数值索引'!$I$5:$I$80)</f>
        <v>0</v>
      </c>
      <c r="V18" s="26">
        <f>SUMIF('07数值索引'!$A$5:$A$80,C18,'07数值索引'!$J$5:$J$80)</f>
        <v>0</v>
      </c>
    </row>
    <row r="19" ht="14.5" spans="1:22">
      <c r="A19" s="24" t="s">
        <v>669</v>
      </c>
      <c r="B19" s="25">
        <v>3</v>
      </c>
      <c r="C19" s="26" t="s">
        <v>165</v>
      </c>
      <c r="D19" s="26" t="str">
        <f>IFERROR(VLOOKUP(C19,'07数值索引'!$A$5:$S$80,19,FALSE),"未找到事件")</f>
        <v>追问旧法会，保留判断</v>
      </c>
      <c r="E19" s="25">
        <f>SUMIFS($O$5:O18,$A$5:$A18,A19)</f>
        <v>0</v>
      </c>
      <c r="F19" s="25">
        <f>SUMIFS($P$5:P18,$A$5:$A18,A19)</f>
        <v>0</v>
      </c>
      <c r="G19" s="25">
        <f>SUMIFS($Q$5:Q18,$A$5:$A18,A19)</f>
        <v>1</v>
      </c>
      <c r="H19" s="25">
        <f>SUMIFS($R$5:R18,$A$5:$A18,A19)</f>
        <v>1</v>
      </c>
      <c r="I19" s="25">
        <f>SUMIFS($S$5:S18,$A$5:$A18,A19)</f>
        <v>0</v>
      </c>
      <c r="J19" s="25">
        <f>SUMIFS($T$5:T18,$A$5:$A18,A19)</f>
        <v>0</v>
      </c>
      <c r="K19" s="25">
        <f>SUMIFS($U$5:U18,$A$5:$A18,A19)</f>
        <v>0</v>
      </c>
      <c r="L19" s="25">
        <f>SUMIFS($V$5:V18,$A$5:$A18,A19)</f>
        <v>0</v>
      </c>
      <c r="M19" s="27" t="s">
        <v>723</v>
      </c>
      <c r="N19" s="26" t="str">
        <f>IF(COUNTIF('07数值索引'!$A$5:$A$80,C19)=1,"PASS","CHECK")</f>
        <v>PASS</v>
      </c>
      <c r="O19" s="26">
        <f>SUMIF('07数值索引'!$A$5:$A$80,C19,'07数值索引'!$D$5:$D$80)</f>
        <v>0</v>
      </c>
      <c r="P19" s="26">
        <f>SUMIF('07数值索引'!$A$5:$A$80,C19,'07数值索引'!$E$5:$E$80)</f>
        <v>0</v>
      </c>
      <c r="Q19" s="26">
        <f>SUMIF('07数值索引'!$A$5:$A$80,C19,'07数值索引'!$F$5:$F$80)</f>
        <v>0</v>
      </c>
      <c r="R19" s="26">
        <f>SUMIF('07数值索引'!$A$5:$A$80,C19,'07数值索引'!$G$5:$G$80)</f>
        <v>0</v>
      </c>
      <c r="S19" s="26">
        <f>SUMIF('07数值索引'!$A$5:$A$80,C19,'07数值索引'!$M$5:$M$80)</f>
        <v>0</v>
      </c>
      <c r="T19" s="26">
        <f>SUMIF('07数值索引'!$A$5:$A$80,C19,'07数值索引'!$H$5:$H$80)</f>
        <v>0</v>
      </c>
      <c r="U19" s="26">
        <f>SUMIF('07数值索引'!$A$5:$A$80,C19,'07数值索引'!$I$5:$I$80)</f>
        <v>0</v>
      </c>
      <c r="V19" s="26">
        <f>SUMIF('07数值索引'!$A$5:$A$80,C19,'07数值索引'!$J$5:$J$80)</f>
        <v>0</v>
      </c>
    </row>
    <row r="20" ht="14.5" spans="1:22">
      <c r="A20" s="24" t="s">
        <v>669</v>
      </c>
      <c r="B20" s="25">
        <v>4</v>
      </c>
      <c r="C20" s="26" t="s">
        <v>284</v>
      </c>
      <c r="D20" s="26" t="str">
        <f>IFERROR(VLOOKUP(C20,'07数值索引'!$A$5:$S$80,19,FALSE),"未找到事件")</f>
        <v>他趁乱开后门放粮，主角没有暴露，也得到接头线索</v>
      </c>
      <c r="E20" s="25">
        <f>SUMIFS($O$5:O19,$A$5:$A19,A20)</f>
        <v>0</v>
      </c>
      <c r="F20" s="25">
        <f>SUMIFS($P$5:P19,$A$5:$A19,A20)</f>
        <v>0</v>
      </c>
      <c r="G20" s="25">
        <f>SUMIFS($Q$5:Q19,$A$5:$A19,A20)</f>
        <v>1</v>
      </c>
      <c r="H20" s="25">
        <f>SUMIFS($R$5:R19,$A$5:$A19,A20)</f>
        <v>1</v>
      </c>
      <c r="I20" s="25">
        <f>SUMIFS($S$5:S19,$A$5:$A19,A20)</f>
        <v>0</v>
      </c>
      <c r="J20" s="25">
        <f>SUMIFS($T$5:T19,$A$5:$A19,A20)</f>
        <v>0</v>
      </c>
      <c r="K20" s="25">
        <f>SUMIFS($U$5:U19,$A$5:$A19,A20)</f>
        <v>0</v>
      </c>
      <c r="L20" s="25">
        <f>SUMIFS($V$5:V19,$A$5:$A19,A20)</f>
        <v>0</v>
      </c>
      <c r="M20" s="27" t="s">
        <v>723</v>
      </c>
      <c r="N20" s="26" t="str">
        <f>IF(COUNTIF('07数值索引'!$A$5:$A$80,C20)=1,"PASS","CHECK")</f>
        <v>PASS</v>
      </c>
      <c r="O20" s="26">
        <f>SUMIF('07数值索引'!$A$5:$A$80,C20,'07数值索引'!$D$5:$D$80)</f>
        <v>1</v>
      </c>
      <c r="P20" s="26">
        <f>SUMIF('07数值索引'!$A$5:$A$80,C20,'07数值索引'!$E$5:$E$80)</f>
        <v>0</v>
      </c>
      <c r="Q20" s="26">
        <f>SUMIF('07数值索引'!$A$5:$A$80,C20,'07数值索引'!$F$5:$F$80)</f>
        <v>0</v>
      </c>
      <c r="R20" s="26">
        <f>SUMIF('07数值索引'!$A$5:$A$80,C20,'07数值索引'!$G$5:$G$80)</f>
        <v>0</v>
      </c>
      <c r="S20" s="26">
        <f>SUMIF('07数值索引'!$A$5:$A$80,C20,'07数值索引'!$M$5:$M$80)</f>
        <v>1</v>
      </c>
      <c r="T20" s="26">
        <f>SUMIF('07数值索引'!$A$5:$A$80,C20,'07数值索引'!$H$5:$H$80)</f>
        <v>0</v>
      </c>
      <c r="U20" s="26">
        <f>SUMIF('07数值索引'!$A$5:$A$80,C20,'07数值索引'!$I$5:$I$80)</f>
        <v>0</v>
      </c>
      <c r="V20" s="26">
        <f>SUMIF('07数值索引'!$A$5:$A$80,C20,'07数值索引'!$J$5:$J$80)</f>
        <v>0</v>
      </c>
    </row>
    <row r="21" ht="14.5" spans="1:22">
      <c r="A21" s="24" t="s">
        <v>669</v>
      </c>
      <c r="B21" s="25">
        <v>5</v>
      </c>
      <c r="C21" s="26" t="s">
        <v>183</v>
      </c>
      <c r="D21" s="26" t="str">
        <f>IFERROR(VLOOKUP(C21,'07数值索引'!$A$5:$S$80,19,FALSE),"未找到事件")</f>
        <v>告诉阿禾名单上有她的名字</v>
      </c>
      <c r="E21" s="25">
        <f>SUMIFS($O$5:O20,$A$5:$A20,A21)</f>
        <v>1</v>
      </c>
      <c r="F21" s="25">
        <f>SUMIFS($P$5:P20,$A$5:$A20,A21)</f>
        <v>0</v>
      </c>
      <c r="G21" s="25">
        <f>SUMIFS($Q$5:Q20,$A$5:$A20,A21)</f>
        <v>1</v>
      </c>
      <c r="H21" s="25">
        <f>SUMIFS($R$5:R20,$A$5:$A20,A21)</f>
        <v>1</v>
      </c>
      <c r="I21" s="25">
        <f>SUMIFS($S$5:S20,$A$5:$A20,A21)</f>
        <v>1</v>
      </c>
      <c r="J21" s="25">
        <f>SUMIFS($T$5:T20,$A$5:$A20,A21)</f>
        <v>0</v>
      </c>
      <c r="K21" s="25">
        <f>SUMIFS($U$5:U20,$A$5:$A20,A21)</f>
        <v>0</v>
      </c>
      <c r="L21" s="25">
        <f>SUMIFS($V$5:V20,$A$5:$A20,A21)</f>
        <v>0</v>
      </c>
      <c r="M21" s="27" t="s">
        <v>723</v>
      </c>
      <c r="N21" s="26" t="str">
        <f>IF(COUNTIF('07数值索引'!$A$5:$A$80,C21)=1,"PASS","CHECK")</f>
        <v>PASS</v>
      </c>
      <c r="O21" s="26">
        <f>SUMIF('07数值索引'!$A$5:$A$80,C21,'07数值索引'!$D$5:$D$80)</f>
        <v>1</v>
      </c>
      <c r="P21" s="26">
        <f>SUMIF('07数值索引'!$A$5:$A$80,C21,'07数值索引'!$E$5:$E$80)</f>
        <v>0</v>
      </c>
      <c r="Q21" s="26">
        <f>SUMIF('07数值索引'!$A$5:$A$80,C21,'07数值索引'!$F$5:$F$80)</f>
        <v>1</v>
      </c>
      <c r="R21" s="26">
        <f>SUMIF('07数值索引'!$A$5:$A$80,C21,'07数值索引'!$G$5:$G$80)</f>
        <v>0</v>
      </c>
      <c r="S21" s="26">
        <f>SUMIF('07数值索引'!$A$5:$A$80,C21,'07数值索引'!$M$5:$M$80)</f>
        <v>0</v>
      </c>
      <c r="T21" s="26">
        <f>SUMIF('07数值索引'!$A$5:$A$80,C21,'07数值索引'!$H$5:$H$80)</f>
        <v>0</v>
      </c>
      <c r="U21" s="26">
        <f>SUMIF('07数值索引'!$A$5:$A$80,C21,'07数值索引'!$I$5:$I$80)</f>
        <v>0</v>
      </c>
      <c r="V21" s="26">
        <f>SUMIF('07数值索引'!$A$5:$A$80,C21,'07数值索引'!$J$5:$J$80)</f>
        <v>0</v>
      </c>
    </row>
    <row r="22" ht="14.5" spans="1:22">
      <c r="A22" s="24" t="s">
        <v>669</v>
      </c>
      <c r="B22" s="25">
        <v>6</v>
      </c>
      <c r="C22" s="26" t="s">
        <v>191</v>
      </c>
      <c r="D22" s="26" t="str">
        <f>IFERROR(VLOOKUP(C22,'07数值索引'!$A$5:$S$80,19,FALSE),"未找到事件")</f>
        <v>完整承认由自己提出并下令划名</v>
      </c>
      <c r="E22" s="25">
        <f>SUMIFS($O$5:O21,$A$5:$A21,A22)</f>
        <v>2</v>
      </c>
      <c r="F22" s="25">
        <f>SUMIFS($P$5:P21,$A$5:$A21,A22)</f>
        <v>0</v>
      </c>
      <c r="G22" s="25">
        <f>SUMIFS($Q$5:Q21,$A$5:$A21,A22)</f>
        <v>2</v>
      </c>
      <c r="H22" s="25">
        <f>SUMIFS($R$5:R21,$A$5:$A21,A22)</f>
        <v>1</v>
      </c>
      <c r="I22" s="25">
        <f>SUMIFS($S$5:S21,$A$5:$A21,A22)</f>
        <v>1</v>
      </c>
      <c r="J22" s="25">
        <f>SUMIFS($T$5:T21,$A$5:$A21,A22)</f>
        <v>0</v>
      </c>
      <c r="K22" s="25">
        <f>SUMIFS($U$5:U21,$A$5:$A21,A22)</f>
        <v>0</v>
      </c>
      <c r="L22" s="25">
        <f>SUMIFS($V$5:V21,$A$5:$A21,A22)</f>
        <v>0</v>
      </c>
      <c r="M22" s="27" t="s">
        <v>723</v>
      </c>
      <c r="N22" s="26" t="str">
        <f>IF(COUNTIF('07数值索引'!$A$5:$A$80,C22)=1,"PASS","CHECK")</f>
        <v>PASS</v>
      </c>
      <c r="O22" s="26">
        <f>SUMIF('07数值索引'!$A$5:$A$80,C22,'07数值索引'!$D$5:$D$80)</f>
        <v>3</v>
      </c>
      <c r="P22" s="26">
        <f>SUMIF('07数值索引'!$A$5:$A$80,C22,'07数值索引'!$E$5:$E$80)</f>
        <v>0</v>
      </c>
      <c r="Q22" s="26">
        <f>SUMIF('07数值索引'!$A$5:$A$80,C22,'07数值索引'!$F$5:$F$80)</f>
        <v>1</v>
      </c>
      <c r="R22" s="26">
        <f>SUMIF('07数值索引'!$A$5:$A$80,C22,'07数值索引'!$G$5:$G$80)</f>
        <v>0</v>
      </c>
      <c r="S22" s="26">
        <f>SUMIF('07数值索引'!$A$5:$A$80,C22,'07数值索引'!$M$5:$M$80)</f>
        <v>0</v>
      </c>
      <c r="T22" s="26">
        <f>SUMIF('07数值索引'!$A$5:$A$80,C22,'07数值索引'!$H$5:$H$80)</f>
        <v>0</v>
      </c>
      <c r="U22" s="26">
        <f>SUMIF('07数值索引'!$A$5:$A$80,C22,'07数值索引'!$I$5:$I$80)</f>
        <v>0</v>
      </c>
      <c r="V22" s="26">
        <f>SUMIF('07数值索引'!$A$5:$A$80,C22,'07数值索引'!$J$5:$J$80)</f>
        <v>0</v>
      </c>
    </row>
    <row r="23" ht="14.5" spans="1:22">
      <c r="A23" s="24" t="s">
        <v>669</v>
      </c>
      <c r="B23" s="25">
        <v>7</v>
      </c>
      <c r="C23" s="26" t="s">
        <v>446</v>
      </c>
      <c r="D23" s="26" t="str">
        <f>IFERROR(VLOOKUP(C23,'07数值索引'!$A$5:$S$80,19,FALSE),"未找到事件")</f>
        <v>罪证进入结构性行动；主角不自动加入义军</v>
      </c>
      <c r="E23" s="25">
        <f>SUMIFS($O$5:O22,$A$5:$A22,A23)</f>
        <v>5</v>
      </c>
      <c r="F23" s="25">
        <f>SUMIFS($P$5:P22,$A$5:$A22,A23)</f>
        <v>0</v>
      </c>
      <c r="G23" s="25">
        <f>SUMIFS($Q$5:Q22,$A$5:$A22,A23)</f>
        <v>3</v>
      </c>
      <c r="H23" s="25">
        <f>SUMIFS($R$5:R22,$A$5:$A22,A23)</f>
        <v>1</v>
      </c>
      <c r="I23" s="25">
        <f>SUMIFS($S$5:S22,$A$5:$A22,A23)</f>
        <v>1</v>
      </c>
      <c r="J23" s="25">
        <f>SUMIFS($T$5:T22,$A$5:$A22,A23)</f>
        <v>0</v>
      </c>
      <c r="K23" s="25">
        <f>SUMIFS($U$5:U22,$A$5:$A22,A23)</f>
        <v>0</v>
      </c>
      <c r="L23" s="25">
        <f>SUMIFS($V$5:V22,$A$5:$A22,A23)</f>
        <v>0</v>
      </c>
      <c r="M23" s="27" t="s">
        <v>726</v>
      </c>
      <c r="N23" s="26" t="str">
        <f>IF(AND(COUNTIF('07数值索引'!$A$5:$A$80,C23)=1,I23&gt;=1),"PASS","CHECK")</f>
        <v>PASS</v>
      </c>
      <c r="O23" s="26">
        <f>SUMIF('07数值索引'!$A$5:$A$80,C23,'07数值索引'!$D$5:$D$80)</f>
        <v>2</v>
      </c>
      <c r="P23" s="26">
        <f>SUMIF('07数值索引'!$A$5:$A$80,C23,'07数值索引'!$E$5:$E$80)</f>
        <v>0</v>
      </c>
      <c r="Q23" s="26">
        <f>SUMIF('07数值索引'!$A$5:$A$80,C23,'07数值索引'!$F$5:$F$80)</f>
        <v>0</v>
      </c>
      <c r="R23" s="26">
        <f>SUMIF('07数值索引'!$A$5:$A$80,C23,'07数值索引'!$G$5:$G$80)</f>
        <v>0</v>
      </c>
      <c r="S23" s="26">
        <f>SUMIF('07数值索引'!$A$5:$A$80,C23,'07数值索引'!$M$5:$M$80)</f>
        <v>1</v>
      </c>
      <c r="T23" s="26">
        <f>SUMIF('07数值索引'!$A$5:$A$80,C23,'07数值索引'!$H$5:$H$80)</f>
        <v>1</v>
      </c>
      <c r="U23" s="26">
        <f>SUMIF('07数值索引'!$A$5:$A$80,C23,'07数值索引'!$I$5:$I$80)</f>
        <v>0</v>
      </c>
      <c r="V23" s="26">
        <f>SUMIF('07数值索引'!$A$5:$A$80,C23,'07数值索引'!$J$5:$J$80)</f>
        <v>0</v>
      </c>
    </row>
    <row r="24" ht="14.5" spans="1:22">
      <c r="A24" s="24" t="s">
        <v>669</v>
      </c>
      <c r="B24" s="25">
        <v>8</v>
      </c>
      <c r="C24" s="26" t="s">
        <v>461</v>
      </c>
      <c r="D24" s="26" t="str">
        <f>IFERROR(VLOOKUP(C24,'07数值索引'!$A$5:$S$80,19,FALSE),"未找到事件")</f>
        <v>揭露殉道计划与裴家关系</v>
      </c>
      <c r="E24" s="25">
        <f>SUMIFS($O$5:O23,$A$5:$A23,A24)</f>
        <v>7</v>
      </c>
      <c r="F24" s="25">
        <f>SUMIFS($P$5:P23,$A$5:$A23,A24)</f>
        <v>0</v>
      </c>
      <c r="G24" s="25">
        <f>SUMIFS($Q$5:Q23,$A$5:$A23,A24)</f>
        <v>3</v>
      </c>
      <c r="H24" s="25">
        <f>SUMIFS($R$5:R23,$A$5:$A23,A24)</f>
        <v>1</v>
      </c>
      <c r="I24" s="25">
        <f>SUMIFS($S$5:S23,$A$5:$A23,A24)</f>
        <v>2</v>
      </c>
      <c r="J24" s="25">
        <f>SUMIFS($T$5:T23,$A$5:$A23,A24)</f>
        <v>1</v>
      </c>
      <c r="K24" s="25">
        <f>SUMIFS($U$5:U23,$A$5:$A23,A24)</f>
        <v>0</v>
      </c>
      <c r="L24" s="25">
        <f>SUMIFS($V$5:V23,$A$5:$A23,A24)</f>
        <v>0</v>
      </c>
      <c r="M24" s="27" t="s">
        <v>726</v>
      </c>
      <c r="N24" s="26" t="str">
        <f>IF(AND(COUNTIF('07数值索引'!$A$5:$A$80,C24)=1,I24&gt;=1),"PASS","CHECK")</f>
        <v>PASS</v>
      </c>
      <c r="O24" s="26">
        <f>SUMIF('07数值索引'!$A$5:$A$80,C24,'07数值索引'!$D$5:$D$80)</f>
        <v>2</v>
      </c>
      <c r="P24" s="26">
        <f>SUMIF('07数值索引'!$A$5:$A$80,C24,'07数值索引'!$E$5:$E$80)</f>
        <v>0</v>
      </c>
      <c r="Q24" s="26">
        <f>SUMIF('07数值索引'!$A$5:$A$80,C24,'07数值索引'!$F$5:$F$80)</f>
        <v>0</v>
      </c>
      <c r="R24" s="26">
        <f>SUMIF('07数值索引'!$A$5:$A$80,C24,'07数值索引'!$G$5:$G$80)</f>
        <v>0</v>
      </c>
      <c r="S24" s="26">
        <f>SUMIF('07数值索引'!$A$5:$A$80,C24,'07数值索引'!$M$5:$M$80)</f>
        <v>1</v>
      </c>
      <c r="T24" s="26">
        <f>SUMIF('07数值索引'!$A$5:$A$80,C24,'07数值索引'!$H$5:$H$80)</f>
        <v>1</v>
      </c>
      <c r="U24" s="26">
        <f>SUMIF('07数值索引'!$A$5:$A$80,C24,'07数值索引'!$I$5:$I$80)</f>
        <v>0</v>
      </c>
      <c r="V24" s="26">
        <f>SUMIF('07数值索引'!$A$5:$A$80,C24,'07数值索引'!$J$5:$J$80)</f>
        <v>0</v>
      </c>
    </row>
    <row r="25" ht="14.5" spans="1:22">
      <c r="A25" s="24" t="s">
        <v>669</v>
      </c>
      <c r="B25" s="25">
        <v>9</v>
      </c>
      <c r="C25" s="26" t="s">
        <v>473</v>
      </c>
      <c r="D25" s="26" t="str">
        <f>IFERROR(VLOOKUP(C25,'07数值索引'!$A$5:$S$80,19,FALSE),"未找到事件")</f>
        <v>救助人数多，但公开行动提高追捕压力</v>
      </c>
      <c r="E25" s="25">
        <f>SUMIFS($O$5:O24,$A$5:$A24,A25)</f>
        <v>9</v>
      </c>
      <c r="F25" s="25">
        <f>SUMIFS($P$5:P24,$A$5:$A24,A25)</f>
        <v>0</v>
      </c>
      <c r="G25" s="25">
        <f>SUMIFS($Q$5:Q24,$A$5:$A24,A25)</f>
        <v>3</v>
      </c>
      <c r="H25" s="25">
        <f>SUMIFS($R$5:R24,$A$5:$A24,A25)</f>
        <v>1</v>
      </c>
      <c r="I25" s="25">
        <f>SUMIFS($S$5:S24,$A$5:$A24,A25)</f>
        <v>3</v>
      </c>
      <c r="J25" s="25">
        <f>SUMIFS($T$5:T24,$A$5:$A24,A25)</f>
        <v>2</v>
      </c>
      <c r="K25" s="25">
        <f>SUMIFS($U$5:U24,$A$5:$A24,A25)</f>
        <v>0</v>
      </c>
      <c r="L25" s="25">
        <f>SUMIFS($V$5:V24,$A$5:$A24,A25)</f>
        <v>0</v>
      </c>
      <c r="M25" s="27" t="s">
        <v>723</v>
      </c>
      <c r="N25" s="26" t="str">
        <f>IF(COUNTIF('07数值索引'!$A$5:$A$80,C25)=1,"PASS","CHECK")</f>
        <v>PASS</v>
      </c>
      <c r="O25" s="26">
        <f>SUMIF('07数值索引'!$A$5:$A$80,C25,'07数值索引'!$D$5:$D$80)</f>
        <v>2</v>
      </c>
      <c r="P25" s="26">
        <f>SUMIF('07数值索引'!$A$5:$A$80,C25,'07数值索引'!$E$5:$E$80)</f>
        <v>0</v>
      </c>
      <c r="Q25" s="26">
        <f>SUMIF('07数值索引'!$A$5:$A$80,C25,'07数值索引'!$F$5:$F$80)</f>
        <v>0</v>
      </c>
      <c r="R25" s="26">
        <f>SUMIF('07数值索引'!$A$5:$A$80,C25,'07数值索引'!$G$5:$G$80)</f>
        <v>1</v>
      </c>
      <c r="S25" s="26">
        <f>SUMIF('07数值索引'!$A$5:$A$80,C25,'07数值索引'!$M$5:$M$80)</f>
        <v>0</v>
      </c>
      <c r="T25" s="26">
        <f>SUMIF('07数值索引'!$A$5:$A$80,C25,'07数值索引'!$H$5:$H$80)</f>
        <v>0</v>
      </c>
      <c r="U25" s="26">
        <f>SUMIF('07数值索引'!$A$5:$A$80,C25,'07数值索引'!$I$5:$I$80)</f>
        <v>0</v>
      </c>
      <c r="V25" s="26">
        <f>SUMIF('07数值索引'!$A$5:$A$80,C25,'07数值索引'!$J$5:$J$80)</f>
        <v>0</v>
      </c>
    </row>
    <row r="26" ht="14.5" spans="1:22">
      <c r="A26" s="24" t="s">
        <v>669</v>
      </c>
      <c r="B26" s="25">
        <v>10</v>
      </c>
      <c r="C26" s="26" t="s">
        <v>479</v>
      </c>
      <c r="D26" s="26" t="str">
        <f>IFERROR(VLOOKUP(C26,'07数值索引'!$A$5:$S$80,19,FALSE),"未找到事件")</f>
        <v>主动关闭最便利的旧权力入口</v>
      </c>
      <c r="E26" s="25">
        <f>SUMIFS($O$5:O25,$A$5:$A25,A26)</f>
        <v>11</v>
      </c>
      <c r="F26" s="25">
        <f>SUMIFS($P$5:P25,$A$5:$A25,A26)</f>
        <v>0</v>
      </c>
      <c r="G26" s="25">
        <f>SUMIFS($Q$5:Q25,$A$5:$A25,A26)</f>
        <v>3</v>
      </c>
      <c r="H26" s="25">
        <f>SUMIFS($R$5:R25,$A$5:$A25,A26)</f>
        <v>2</v>
      </c>
      <c r="I26" s="25">
        <f>SUMIFS($S$5:S25,$A$5:$A25,A26)</f>
        <v>3</v>
      </c>
      <c r="J26" s="25">
        <f>SUMIFS($T$5:T25,$A$5:$A25,A26)</f>
        <v>2</v>
      </c>
      <c r="K26" s="25">
        <f>SUMIFS($U$5:U25,$A$5:$A25,A26)</f>
        <v>0</v>
      </c>
      <c r="L26" s="25">
        <f>SUMIFS($V$5:V25,$A$5:$A25,A26)</f>
        <v>0</v>
      </c>
      <c r="M26" s="27" t="s">
        <v>723</v>
      </c>
      <c r="N26" s="26" t="str">
        <f>IF(COUNTIF('07数值索引'!$A$5:$A$80,C26)=1,"PASS","CHECK")</f>
        <v>PASS</v>
      </c>
      <c r="O26" s="26">
        <f>SUMIF('07数值索引'!$A$5:$A$80,C26,'07数值索引'!$D$5:$D$80)</f>
        <v>2</v>
      </c>
      <c r="P26" s="26">
        <f>SUMIF('07数值索引'!$A$5:$A$80,C26,'07数值索引'!$E$5:$E$80)</f>
        <v>-1</v>
      </c>
      <c r="Q26" s="26">
        <f>SUMIF('07数值索引'!$A$5:$A$80,C26,'07数值索引'!$F$5:$F$80)</f>
        <v>1</v>
      </c>
      <c r="R26" s="26">
        <f>SUMIF('07数值索引'!$A$5:$A$80,C26,'07数值索引'!$G$5:$G$80)</f>
        <v>0</v>
      </c>
      <c r="S26" s="26">
        <f>SUMIF('07数值索引'!$A$5:$A$80,C26,'07数值索引'!$M$5:$M$80)</f>
        <v>0</v>
      </c>
      <c r="T26" s="26">
        <f>SUMIF('07数值索引'!$A$5:$A$80,C26,'07数值索引'!$H$5:$H$80)</f>
        <v>0</v>
      </c>
      <c r="U26" s="26">
        <f>SUMIF('07数值索引'!$A$5:$A$80,C26,'07数值索引'!$I$5:$I$80)</f>
        <v>0</v>
      </c>
      <c r="V26" s="26">
        <f>SUMIF('07数值索引'!$A$5:$A$80,C26,'07数值索引'!$J$5:$J$80)</f>
        <v>0</v>
      </c>
    </row>
    <row r="27" ht="14.5" spans="1:22">
      <c r="A27" s="24" t="s">
        <v>669</v>
      </c>
      <c r="B27" s="25">
        <v>11</v>
      </c>
      <c r="C27" s="26" t="s">
        <v>586</v>
      </c>
      <c r="D27" s="26" t="str">
        <f>IFERROR(VLOOKUP(C27,'07数值索引'!$A$5:$S$80,19,FALSE),"未找到事件")</f>
        <v>魏先进入县城，所有路线固定增加一次追捕压力</v>
      </c>
      <c r="E27" s="25">
        <f>SUMIFS($O$5:O26,$A$5:$A26,A27)</f>
        <v>13</v>
      </c>
      <c r="F27" s="25">
        <f>SUMIFS($P$5:P26,$A$5:$A26,A27)</f>
        <v>-1</v>
      </c>
      <c r="G27" s="25">
        <f>SUMIFS($Q$5:Q26,$A$5:$A26,A27)</f>
        <v>4</v>
      </c>
      <c r="H27" s="25">
        <f>SUMIFS($R$5:R26,$A$5:$A26,A27)</f>
        <v>2</v>
      </c>
      <c r="I27" s="25">
        <f>SUMIFS($S$5:S26,$A$5:$A26,A27)</f>
        <v>3</v>
      </c>
      <c r="J27" s="25">
        <f>SUMIFS($T$5:T26,$A$5:$A26,A27)</f>
        <v>2</v>
      </c>
      <c r="K27" s="25">
        <f>SUMIFS($U$5:U26,$A$5:$A26,A27)</f>
        <v>0</v>
      </c>
      <c r="L27" s="25">
        <f>SUMIFS($V$5:V26,$A$5:$A26,A27)</f>
        <v>0</v>
      </c>
      <c r="M27" s="27" t="s">
        <v>723</v>
      </c>
      <c r="N27" s="26" t="str">
        <f>IF(COUNTIF('07数值索引'!$A$5:$A$80,C27)=1,"PASS","CHECK")</f>
        <v>PASS</v>
      </c>
      <c r="O27" s="26">
        <f>SUMIF('07数值索引'!$A$5:$A$80,C27,'07数值索引'!$D$5:$D$80)</f>
        <v>0</v>
      </c>
      <c r="P27" s="26">
        <f>SUMIF('07数值索引'!$A$5:$A$80,C27,'07数值索引'!$E$5:$E$80)</f>
        <v>0</v>
      </c>
      <c r="Q27" s="26">
        <f>SUMIF('07数值索引'!$A$5:$A$80,C27,'07数值索引'!$F$5:$F$80)</f>
        <v>0</v>
      </c>
      <c r="R27" s="26">
        <f>SUMIF('07数值索引'!$A$5:$A$80,C27,'07数值索引'!$G$5:$G$80)</f>
        <v>1</v>
      </c>
      <c r="S27" s="26">
        <f>SUMIF('07数值索引'!$A$5:$A$80,C27,'07数值索引'!$M$5:$M$80)</f>
        <v>0</v>
      </c>
      <c r="T27" s="26">
        <f>SUMIF('07数值索引'!$A$5:$A$80,C27,'07数值索引'!$H$5:$H$80)</f>
        <v>0</v>
      </c>
      <c r="U27" s="26">
        <f>SUMIF('07数值索引'!$A$5:$A$80,C27,'07数值索引'!$I$5:$I$80)</f>
        <v>0</v>
      </c>
      <c r="V27" s="26">
        <f>SUMIF('07数值索引'!$A$5:$A$80,C27,'07数值索引'!$J$5:$J$80)</f>
        <v>0</v>
      </c>
    </row>
    <row r="28" ht="14.5" spans="1:22">
      <c r="A28" s="24" t="s">
        <v>669</v>
      </c>
      <c r="B28" s="25">
        <v>12</v>
      </c>
      <c r="C28" s="26" t="s">
        <v>214</v>
      </c>
      <c r="D28" s="26" t="str">
        <f>IFERROR(VLOOKUP(C28,'07数值索引'!$A$5:$S$80,19,FALSE),"未找到事件")</f>
        <v>按暗号转交证据，从旧地道撤离</v>
      </c>
      <c r="E28" s="25">
        <f>SUMIFS($O$5:O27,$A$5:$A27,A28)</f>
        <v>13</v>
      </c>
      <c r="F28" s="25">
        <f>SUMIFS($P$5:P27,$A$5:$A27,A28)</f>
        <v>-1</v>
      </c>
      <c r="G28" s="25">
        <f>SUMIFS($Q$5:Q27,$A$5:$A27,A28)</f>
        <v>4</v>
      </c>
      <c r="H28" s="25">
        <f>SUMIFS($R$5:R27,$A$5:$A27,A28)</f>
        <v>3</v>
      </c>
      <c r="I28" s="25">
        <f>SUMIFS($S$5:S27,$A$5:$A27,A28)</f>
        <v>3</v>
      </c>
      <c r="J28" s="25">
        <f>SUMIFS($T$5:T27,$A$5:$A27,A28)</f>
        <v>2</v>
      </c>
      <c r="K28" s="25">
        <f>SUMIFS($U$5:U27,$A$5:$A27,A28)</f>
        <v>0</v>
      </c>
      <c r="L28" s="25">
        <f>SUMIFS($V$5:V27,$A$5:$A27,A28)</f>
        <v>0</v>
      </c>
      <c r="M28" s="27" t="s">
        <v>726</v>
      </c>
      <c r="N28" s="26" t="str">
        <f>IF(AND(COUNTIF('07数值索引'!$A$5:$A$80,C28)=1,I28&gt;=1),"PASS","CHECK")</f>
        <v>PASS</v>
      </c>
      <c r="O28" s="26">
        <f>SUMIF('07数值索引'!$A$5:$A$80,C28,'07数值索引'!$D$5:$D$80)</f>
        <v>1</v>
      </c>
      <c r="P28" s="26">
        <f>SUMIF('07数值索引'!$A$5:$A$80,C28,'07数值索引'!$E$5:$E$80)</f>
        <v>0</v>
      </c>
      <c r="Q28" s="26">
        <f>SUMIF('07数值索引'!$A$5:$A$80,C28,'07数值索引'!$F$5:$F$80)</f>
        <v>0</v>
      </c>
      <c r="R28" s="26">
        <f>SUMIF('07数值索引'!$A$5:$A$80,C28,'07数值索引'!$G$5:$G$80)</f>
        <v>-1</v>
      </c>
      <c r="S28" s="26">
        <f>SUMIF('07数值索引'!$A$5:$A$80,C28,'07数值索引'!$M$5:$M$80)</f>
        <v>1</v>
      </c>
      <c r="T28" s="26">
        <f>SUMIF('07数值索引'!$A$5:$A$80,C28,'07数值索引'!$H$5:$H$80)</f>
        <v>0</v>
      </c>
      <c r="U28" s="26">
        <f>SUMIF('07数值索引'!$A$5:$A$80,C28,'07数值索引'!$I$5:$I$80)</f>
        <v>0</v>
      </c>
      <c r="V28" s="26">
        <f>SUMIF('07数值索引'!$A$5:$A$80,C28,'07数值索引'!$J$5:$J$80)</f>
        <v>0</v>
      </c>
    </row>
    <row r="29" ht="14.5" spans="1:22">
      <c r="A29" s="24" t="s">
        <v>672</v>
      </c>
      <c r="B29" s="25">
        <v>1</v>
      </c>
      <c r="C29" s="26" t="s">
        <v>582</v>
      </c>
      <c r="D29" s="26" t="str">
        <f>IFERROR(VLOOKUP(C29,'07数值索引'!$A$5:$S$80,19,FALSE),"未找到事件")</f>
        <v>阿禾因救人而保留最低限度善意；追兵已在沿河搜索</v>
      </c>
      <c r="E29" s="25">
        <f t="shared" ref="E29:L29" si="3">0</f>
        <v>0</v>
      </c>
      <c r="F29" s="25">
        <f t="shared" si="3"/>
        <v>0</v>
      </c>
      <c r="G29" s="25">
        <f t="shared" si="3"/>
        <v>0</v>
      </c>
      <c r="H29" s="25">
        <f t="shared" si="3"/>
        <v>0</v>
      </c>
      <c r="I29" s="25">
        <f t="shared" si="3"/>
        <v>0</v>
      </c>
      <c r="J29" s="25">
        <f t="shared" si="3"/>
        <v>0</v>
      </c>
      <c r="K29" s="25">
        <f t="shared" si="3"/>
        <v>0</v>
      </c>
      <c r="L29" s="25">
        <f t="shared" si="3"/>
        <v>0</v>
      </c>
      <c r="M29" s="27" t="s">
        <v>723</v>
      </c>
      <c r="N29" s="26" t="str">
        <f>IF(COUNTIF('07数值索引'!$A$5:$A$80,C29)=1,"PASS","CHECK")</f>
        <v>PASS</v>
      </c>
      <c r="O29" s="26">
        <f>SUMIF('07数值索引'!$A$5:$A$80,C29,'07数值索引'!$D$5:$D$80)</f>
        <v>0</v>
      </c>
      <c r="P29" s="26">
        <f>SUMIF('07数值索引'!$A$5:$A$80,C29,'07数值索引'!$E$5:$E$80)</f>
        <v>0</v>
      </c>
      <c r="Q29" s="26">
        <f>SUMIF('07数值索引'!$A$5:$A$80,C29,'07数值索引'!$F$5:$F$80)</f>
        <v>1</v>
      </c>
      <c r="R29" s="26">
        <f>SUMIF('07数值索引'!$A$5:$A$80,C29,'07数值索引'!$G$5:$G$80)</f>
        <v>1</v>
      </c>
      <c r="S29" s="26">
        <f>SUMIF('07数值索引'!$A$5:$A$80,C29,'07数值索引'!$M$5:$M$80)</f>
        <v>0</v>
      </c>
      <c r="T29" s="26">
        <f>SUMIF('07数值索引'!$A$5:$A$80,C29,'07数值索引'!$H$5:$H$80)</f>
        <v>0</v>
      </c>
      <c r="U29" s="26">
        <f>SUMIF('07数值索引'!$A$5:$A$80,C29,'07数值索引'!$I$5:$I$80)</f>
        <v>0</v>
      </c>
      <c r="V29" s="26">
        <f>SUMIF('07数值索引'!$A$5:$A$80,C29,'07数值索引'!$J$5:$J$80)</f>
        <v>0</v>
      </c>
    </row>
    <row r="30" ht="14.5" spans="1:22">
      <c r="A30" s="24" t="s">
        <v>672</v>
      </c>
      <c r="B30" s="25">
        <v>2</v>
      </c>
      <c r="C30" s="26" t="s">
        <v>144</v>
      </c>
      <c r="D30" s="26" t="str">
        <f>IFERROR(VLOOKUP(C30,'07数值索引'!$A$5:$S$80,19,FALSE),"未找到事件")</f>
        <v>坦白不知道来历，也不想连累阿禾</v>
      </c>
      <c r="E30" s="25">
        <f>SUMIFS($O$5:O29,$A$5:$A29,A30)</f>
        <v>0</v>
      </c>
      <c r="F30" s="25">
        <f>SUMIFS($P$5:P29,$A$5:$A29,A30)</f>
        <v>0</v>
      </c>
      <c r="G30" s="25">
        <f>SUMIFS($Q$5:Q29,$A$5:$A29,A30)</f>
        <v>1</v>
      </c>
      <c r="H30" s="25">
        <f>SUMIFS($R$5:R29,$A$5:$A29,A30)</f>
        <v>1</v>
      </c>
      <c r="I30" s="25">
        <f>SUMIFS($S$5:S29,$A$5:$A29,A30)</f>
        <v>0</v>
      </c>
      <c r="J30" s="25">
        <f>SUMIFS($T$5:T29,$A$5:$A29,A30)</f>
        <v>0</v>
      </c>
      <c r="K30" s="25">
        <f>SUMIFS($U$5:U29,$A$5:$A29,A30)</f>
        <v>0</v>
      </c>
      <c r="L30" s="25">
        <f>SUMIFS($V$5:V29,$A$5:$A29,A30)</f>
        <v>0</v>
      </c>
      <c r="M30" s="27" t="s">
        <v>723</v>
      </c>
      <c r="N30" s="26" t="str">
        <f>IF(COUNTIF('07数值索引'!$A$5:$A$80,C30)=1,"PASS","CHECK")</f>
        <v>PASS</v>
      </c>
      <c r="O30" s="26">
        <f>SUMIF('07数值索引'!$A$5:$A$80,C30,'07数值索引'!$D$5:$D$80)</f>
        <v>0</v>
      </c>
      <c r="P30" s="26">
        <f>SUMIF('07数值索引'!$A$5:$A$80,C30,'07数值索引'!$E$5:$E$80)</f>
        <v>0</v>
      </c>
      <c r="Q30" s="26">
        <f>SUMIF('07数值索引'!$A$5:$A$80,C30,'07数值索引'!$F$5:$F$80)</f>
        <v>1</v>
      </c>
      <c r="R30" s="26">
        <f>SUMIF('07数值索引'!$A$5:$A$80,C30,'07数值索引'!$G$5:$G$80)</f>
        <v>0</v>
      </c>
      <c r="S30" s="26">
        <f>SUMIF('07数值索引'!$A$5:$A$80,C30,'07数值索引'!$M$5:$M$80)</f>
        <v>0</v>
      </c>
      <c r="T30" s="26">
        <f>SUMIF('07数值索引'!$A$5:$A$80,C30,'07数值索引'!$H$5:$H$80)</f>
        <v>0</v>
      </c>
      <c r="U30" s="26">
        <f>SUMIF('07数值索引'!$A$5:$A$80,C30,'07数值索引'!$I$5:$I$80)</f>
        <v>0</v>
      </c>
      <c r="V30" s="26">
        <f>SUMIF('07数值索引'!$A$5:$A$80,C30,'07数值索引'!$J$5:$J$80)</f>
        <v>0</v>
      </c>
    </row>
    <row r="31" ht="14.5" spans="1:22">
      <c r="A31" s="24" t="s">
        <v>672</v>
      </c>
      <c r="B31" s="25">
        <v>3</v>
      </c>
      <c r="C31" s="26" t="s">
        <v>169</v>
      </c>
      <c r="D31" s="26" t="str">
        <f>IFERROR(VLOOKUP(C31,'07数值索引'!$A$5:$S$80,19,FALSE),"未找到事件")</f>
        <v>默认跪拜换取帮助；消息开始外泄</v>
      </c>
      <c r="E31" s="25">
        <f>SUMIFS($O$5:O30,$A$5:$A30,A31)</f>
        <v>0</v>
      </c>
      <c r="F31" s="25">
        <f>SUMIFS($P$5:P30,$A$5:$A30,A31)</f>
        <v>0</v>
      </c>
      <c r="G31" s="25">
        <f>SUMIFS($Q$5:Q30,$A$5:$A30,A31)</f>
        <v>2</v>
      </c>
      <c r="H31" s="25">
        <f>SUMIFS($R$5:R30,$A$5:$A30,A31)</f>
        <v>1</v>
      </c>
      <c r="I31" s="25">
        <f>SUMIFS($S$5:S30,$A$5:$A30,A31)</f>
        <v>0</v>
      </c>
      <c r="J31" s="25">
        <f>SUMIFS($T$5:T30,$A$5:$A30,A31)</f>
        <v>0</v>
      </c>
      <c r="K31" s="25">
        <f>SUMIFS($U$5:U30,$A$5:$A30,A31)</f>
        <v>0</v>
      </c>
      <c r="L31" s="25">
        <f>SUMIFS($V$5:V30,$A$5:$A30,A31)</f>
        <v>0</v>
      </c>
      <c r="M31" s="27" t="s">
        <v>723</v>
      </c>
      <c r="N31" s="26" t="str">
        <f>IF(COUNTIF('07数值索引'!$A$5:$A$80,C31)=1,"PASS","CHECK")</f>
        <v>PASS</v>
      </c>
      <c r="O31" s="26">
        <f>SUMIF('07数值索引'!$A$5:$A$80,C31,'07数值索引'!$D$5:$D$80)</f>
        <v>0</v>
      </c>
      <c r="P31" s="26">
        <f>SUMIF('07数值索引'!$A$5:$A$80,C31,'07数值索引'!$E$5:$E$80)</f>
        <v>1</v>
      </c>
      <c r="Q31" s="26">
        <f>SUMIF('07数值索引'!$A$5:$A$80,C31,'07数值索引'!$F$5:$F$80)</f>
        <v>-1</v>
      </c>
      <c r="R31" s="26">
        <f>SUMIF('07数值索引'!$A$5:$A$80,C31,'07数值索引'!$G$5:$G$80)</f>
        <v>1</v>
      </c>
      <c r="S31" s="26">
        <f>SUMIF('07数值索引'!$A$5:$A$80,C31,'07数值索引'!$M$5:$M$80)</f>
        <v>0</v>
      </c>
      <c r="T31" s="26">
        <f>SUMIF('07数值索引'!$A$5:$A$80,C31,'07数值索引'!$H$5:$H$80)</f>
        <v>0</v>
      </c>
      <c r="U31" s="26">
        <f>SUMIF('07数值索引'!$A$5:$A$80,C31,'07数值索引'!$I$5:$I$80)</f>
        <v>0</v>
      </c>
      <c r="V31" s="26">
        <f>SUMIF('07数值索引'!$A$5:$A$80,C31,'07数值索引'!$J$5:$J$80)</f>
        <v>0</v>
      </c>
    </row>
    <row r="32" ht="29" spans="1:22">
      <c r="A32" s="24" t="s">
        <v>672</v>
      </c>
      <c r="B32" s="25">
        <v>4</v>
      </c>
      <c r="C32" s="26" t="s">
        <v>257</v>
      </c>
      <c r="D32" s="26" t="str">
        <f>IFERROR(VLOOKUP(C32,'07数值索引'!$A$5:$S$80,19,FALSE),"未找到事件")</f>
        <v>阿芸以训练过的声音维持秩序，阿禾分粮；救助变快，但阿禾开始警惕</v>
      </c>
      <c r="E32" s="25">
        <f>SUMIFS($O$5:O31,$A$5:$A31,A32)</f>
        <v>0</v>
      </c>
      <c r="F32" s="25">
        <f>SUMIFS($P$5:P31,$A$5:$A31,A32)</f>
        <v>1</v>
      </c>
      <c r="G32" s="25">
        <f>SUMIFS($Q$5:Q31,$A$5:$A31,A32)</f>
        <v>1</v>
      </c>
      <c r="H32" s="25">
        <f>SUMIFS($R$5:R31,$A$5:$A31,A32)</f>
        <v>2</v>
      </c>
      <c r="I32" s="25">
        <f>SUMIFS($S$5:S31,$A$5:$A31,A32)</f>
        <v>0</v>
      </c>
      <c r="J32" s="25">
        <f>SUMIFS($T$5:T31,$A$5:$A31,A32)</f>
        <v>0</v>
      </c>
      <c r="K32" s="25">
        <f>SUMIFS($U$5:U31,$A$5:$A31,A32)</f>
        <v>0</v>
      </c>
      <c r="L32" s="25">
        <f>SUMIFS($V$5:V31,$A$5:$A31,A32)</f>
        <v>0</v>
      </c>
      <c r="M32" s="27" t="s">
        <v>723</v>
      </c>
      <c r="N32" s="26" t="str">
        <f>IF(COUNTIF('07数值索引'!$A$5:$A$80,C32)=1,"PASS","CHECK")</f>
        <v>PASS</v>
      </c>
      <c r="O32" s="26">
        <f>SUMIF('07数值索引'!$A$5:$A$80,C32,'07数值索引'!$D$5:$D$80)</f>
        <v>1</v>
      </c>
      <c r="P32" s="26">
        <f>SUMIF('07数值索引'!$A$5:$A$80,C32,'07数值索引'!$E$5:$E$80)</f>
        <v>1</v>
      </c>
      <c r="Q32" s="26">
        <f>SUMIF('07数值索引'!$A$5:$A$80,C32,'07数值索引'!$F$5:$F$80)</f>
        <v>0</v>
      </c>
      <c r="R32" s="26">
        <f>SUMIF('07数值索引'!$A$5:$A$80,C32,'07数值索引'!$G$5:$G$80)</f>
        <v>1</v>
      </c>
      <c r="S32" s="26">
        <f>SUMIF('07数值索引'!$A$5:$A$80,C32,'07数值索引'!$M$5:$M$80)</f>
        <v>0</v>
      </c>
      <c r="T32" s="26">
        <f>SUMIF('07数值索引'!$A$5:$A$80,C32,'07数值索引'!$H$5:$H$80)</f>
        <v>0</v>
      </c>
      <c r="U32" s="26">
        <f>SUMIF('07数值索引'!$A$5:$A$80,C32,'07数值索引'!$I$5:$I$80)</f>
        <v>0</v>
      </c>
      <c r="V32" s="26">
        <f>SUMIF('07数值索引'!$A$5:$A$80,C32,'07数值索引'!$J$5:$J$80)</f>
        <v>0</v>
      </c>
    </row>
    <row r="33" ht="14.5" spans="1:22">
      <c r="A33" s="24" t="s">
        <v>672</v>
      </c>
      <c r="B33" s="25">
        <v>5</v>
      </c>
      <c r="C33" s="26" t="s">
        <v>187</v>
      </c>
      <c r="D33" s="26" t="str">
        <f>IFERROR(VLOOKUP(C33,'07数值索引'!$A$5:$S$80,19,FALSE),"未找到事件")</f>
        <v>沉默并交出名单</v>
      </c>
      <c r="E33" s="25">
        <f>SUMIFS($O$5:O32,$A$5:$A32,A33)</f>
        <v>1</v>
      </c>
      <c r="F33" s="25">
        <f>SUMIFS($P$5:P32,$A$5:$A32,A33)</f>
        <v>2</v>
      </c>
      <c r="G33" s="25">
        <f>SUMIFS($Q$5:Q32,$A$5:$A32,A33)</f>
        <v>1</v>
      </c>
      <c r="H33" s="25">
        <f>SUMIFS($R$5:R32,$A$5:$A32,A33)</f>
        <v>3</v>
      </c>
      <c r="I33" s="25">
        <f>SUMIFS($S$5:S32,$A$5:$A32,A33)</f>
        <v>0</v>
      </c>
      <c r="J33" s="25">
        <f>SUMIFS($T$5:T32,$A$5:$A32,A33)</f>
        <v>0</v>
      </c>
      <c r="K33" s="25">
        <f>SUMIFS($U$5:U32,$A$5:$A32,A33)</f>
        <v>0</v>
      </c>
      <c r="L33" s="25">
        <f>SUMIFS($V$5:V32,$A$5:$A32,A33)</f>
        <v>0</v>
      </c>
      <c r="M33" s="27" t="s">
        <v>723</v>
      </c>
      <c r="N33" s="26" t="str">
        <f>IF(COUNTIF('07数值索引'!$A$5:$A$80,C33)=1,"PASS","CHECK")</f>
        <v>PASS</v>
      </c>
      <c r="O33" s="26">
        <f>SUMIF('07数值索引'!$A$5:$A$80,C33,'07数值索引'!$D$5:$D$80)</f>
        <v>2</v>
      </c>
      <c r="P33" s="26">
        <f>SUMIF('07数值索引'!$A$5:$A$80,C33,'07数值索引'!$E$5:$E$80)</f>
        <v>0</v>
      </c>
      <c r="Q33" s="26">
        <f>SUMIF('07数值索引'!$A$5:$A$80,C33,'07数值索引'!$F$5:$F$80)</f>
        <v>1</v>
      </c>
      <c r="R33" s="26">
        <f>SUMIF('07数值索引'!$A$5:$A$80,C33,'07数值索引'!$G$5:$G$80)</f>
        <v>0</v>
      </c>
      <c r="S33" s="26">
        <f>SUMIF('07数值索引'!$A$5:$A$80,C33,'07数值索引'!$M$5:$M$80)</f>
        <v>0</v>
      </c>
      <c r="T33" s="26">
        <f>SUMIF('07数值索引'!$A$5:$A$80,C33,'07数值索引'!$H$5:$H$80)</f>
        <v>0</v>
      </c>
      <c r="U33" s="26">
        <f>SUMIF('07数值索引'!$A$5:$A$80,C33,'07数值索引'!$I$5:$I$80)</f>
        <v>0</v>
      </c>
      <c r="V33" s="26">
        <f>SUMIF('07数值索引'!$A$5:$A$80,C33,'07数值索引'!$J$5:$J$80)</f>
        <v>0</v>
      </c>
    </row>
    <row r="34" ht="14.5" spans="1:22">
      <c r="A34" s="24" t="s">
        <v>672</v>
      </c>
      <c r="B34" s="25">
        <v>6</v>
      </c>
      <c r="C34" s="26" t="s">
        <v>197</v>
      </c>
      <c r="D34" s="26" t="str">
        <f>IFERROR(VLOOKUP(C34,'07数值索引'!$A$5:$S$80,19,FALSE),"未找到事件")</f>
        <v>承认说过，但强调自己不知道会死人</v>
      </c>
      <c r="E34" s="25">
        <f>SUMIFS($O$5:O33,$A$5:$A33,A34)</f>
        <v>3</v>
      </c>
      <c r="F34" s="25">
        <f>SUMIFS($P$5:P33,$A$5:$A33,A34)</f>
        <v>2</v>
      </c>
      <c r="G34" s="25">
        <f>SUMIFS($Q$5:Q33,$A$5:$A33,A34)</f>
        <v>2</v>
      </c>
      <c r="H34" s="25">
        <f>SUMIFS($R$5:R33,$A$5:$A33,A34)</f>
        <v>3</v>
      </c>
      <c r="I34" s="25">
        <f>SUMIFS($S$5:S33,$A$5:$A33,A34)</f>
        <v>0</v>
      </c>
      <c r="J34" s="25">
        <f>SUMIFS($T$5:T33,$A$5:$A33,A34)</f>
        <v>0</v>
      </c>
      <c r="K34" s="25">
        <f>SUMIFS($U$5:U33,$A$5:$A33,A34)</f>
        <v>0</v>
      </c>
      <c r="L34" s="25">
        <f>SUMIFS($V$5:V33,$A$5:$A33,A34)</f>
        <v>0</v>
      </c>
      <c r="M34" s="27" t="s">
        <v>723</v>
      </c>
      <c r="N34" s="26" t="str">
        <f>IF(COUNTIF('07数值索引'!$A$5:$A$80,C34)=1,"PASS","CHECK")</f>
        <v>PASS</v>
      </c>
      <c r="O34" s="26">
        <f>SUMIF('07数值索引'!$A$5:$A$80,C34,'07数值索引'!$D$5:$D$80)</f>
        <v>0</v>
      </c>
      <c r="P34" s="26">
        <f>SUMIF('07数值索引'!$A$5:$A$80,C34,'07数值索引'!$E$5:$E$80)</f>
        <v>0</v>
      </c>
      <c r="Q34" s="26">
        <f>SUMIF('07数值索引'!$A$5:$A$80,C34,'07数值索引'!$F$5:$F$80)</f>
        <v>-1</v>
      </c>
      <c r="R34" s="26">
        <f>SUMIF('07数值索引'!$A$5:$A$80,C34,'07数值索引'!$G$5:$G$80)</f>
        <v>0</v>
      </c>
      <c r="S34" s="26">
        <f>SUMIF('07数值索引'!$A$5:$A$80,C34,'07数值索引'!$M$5:$M$80)</f>
        <v>0</v>
      </c>
      <c r="T34" s="26">
        <f>SUMIF('07数值索引'!$A$5:$A$80,C34,'07数值索引'!$H$5:$H$80)</f>
        <v>0</v>
      </c>
      <c r="U34" s="26">
        <f>SUMIF('07数值索引'!$A$5:$A$80,C34,'07数值索引'!$I$5:$I$80)</f>
        <v>0</v>
      </c>
      <c r="V34" s="26">
        <f>SUMIF('07数值索引'!$A$5:$A$80,C34,'07数值索引'!$J$5:$J$80)</f>
        <v>0</v>
      </c>
    </row>
    <row r="35" ht="14.5" spans="1:22">
      <c r="A35" s="24" t="s">
        <v>672</v>
      </c>
      <c r="B35" s="25">
        <v>7</v>
      </c>
      <c r="C35" s="26" t="s">
        <v>441</v>
      </c>
      <c r="D35" s="26" t="str">
        <f>IFERROR(VLOOKUP(C35,'07数值索引'!$A$5:$S$80,19,FALSE),"未找到事件")</f>
        <v>罪行离开主角控制，由受害者决定如何使用</v>
      </c>
      <c r="E35" s="25">
        <f>SUMIFS($O$5:O34,$A$5:$A34,A35)</f>
        <v>3</v>
      </c>
      <c r="F35" s="25">
        <f>SUMIFS($P$5:P34,$A$5:$A34,A35)</f>
        <v>2</v>
      </c>
      <c r="G35" s="25">
        <f>SUMIFS($Q$5:Q34,$A$5:$A34,A35)</f>
        <v>1</v>
      </c>
      <c r="H35" s="25">
        <f>SUMIFS($R$5:R34,$A$5:$A34,A35)</f>
        <v>3</v>
      </c>
      <c r="I35" s="25">
        <f>SUMIFS($S$5:S34,$A$5:$A34,A35)</f>
        <v>0</v>
      </c>
      <c r="J35" s="25">
        <f>SUMIFS($T$5:T34,$A$5:$A34,A35)</f>
        <v>0</v>
      </c>
      <c r="K35" s="25">
        <f>SUMIFS($U$5:U34,$A$5:$A34,A35)</f>
        <v>0</v>
      </c>
      <c r="L35" s="25">
        <f>SUMIFS($V$5:V34,$A$5:$A34,A35)</f>
        <v>0</v>
      </c>
      <c r="M35" s="27" t="s">
        <v>724</v>
      </c>
      <c r="N35" s="26" t="str">
        <f>IF(AND(COUNTIF('07数值索引'!$A$5:$A$80,C35)=1,OR(G35&gt;=4,AND(G35&gt;=1,G35&lt;=3,OR(COUNTIFS($A$5:$A34,A35,$C$5:$C34,"S04-A04")&gt;0,COUNTIFS($A$5:$A34,A35,$C$5:$C34,"S04-B01")&gt;0)))),"PASS","CHECK")</f>
        <v>PASS</v>
      </c>
      <c r="O35" s="26">
        <f>SUMIF('07数值索引'!$A$5:$A$80,C35,'07数值索引'!$D$5:$D$80)</f>
        <v>2</v>
      </c>
      <c r="P35" s="26">
        <f>SUMIF('07数值索引'!$A$5:$A$80,C35,'07数值索引'!$E$5:$E$80)</f>
        <v>0</v>
      </c>
      <c r="Q35" s="26">
        <f>SUMIF('07数值索引'!$A$5:$A$80,C35,'07数值索引'!$F$5:$F$80)</f>
        <v>1</v>
      </c>
      <c r="R35" s="26">
        <f>SUMIF('07数值索引'!$A$5:$A$80,C35,'07数值索引'!$G$5:$G$80)</f>
        <v>0</v>
      </c>
      <c r="S35" s="26">
        <f>SUMIF('07数值索引'!$A$5:$A$80,C35,'07数值索引'!$M$5:$M$80)</f>
        <v>0</v>
      </c>
      <c r="T35" s="26">
        <f>SUMIF('07数值索引'!$A$5:$A$80,C35,'07数值索引'!$H$5:$H$80)</f>
        <v>1</v>
      </c>
      <c r="U35" s="26">
        <f>SUMIF('07数值索引'!$A$5:$A$80,C35,'07数值索引'!$I$5:$I$80)</f>
        <v>0</v>
      </c>
      <c r="V35" s="26">
        <f>SUMIF('07数值索引'!$A$5:$A$80,C35,'07数值索引'!$J$5:$J$80)</f>
        <v>0</v>
      </c>
    </row>
    <row r="36" ht="14.5" spans="1:22">
      <c r="A36" s="24" t="s">
        <v>672</v>
      </c>
      <c r="B36" s="25">
        <v>8</v>
      </c>
      <c r="C36" s="26" t="s">
        <v>467</v>
      </c>
      <c r="D36" s="26" t="str">
        <f>IFERROR(VLOOKUP(C36,'07数值索引'!$A$5:$S$80,19,FALSE),"未找到事件")</f>
        <v>保留自保筹码，不让真相抵达他人</v>
      </c>
      <c r="E36" s="25">
        <f>SUMIFS($O$5:O35,$A$5:$A35,A36)</f>
        <v>5</v>
      </c>
      <c r="F36" s="25">
        <f>SUMIFS($P$5:P35,$A$5:$A35,A36)</f>
        <v>2</v>
      </c>
      <c r="G36" s="25">
        <f>SUMIFS($Q$5:Q35,$A$5:$A35,A36)</f>
        <v>2</v>
      </c>
      <c r="H36" s="25">
        <f>SUMIFS($R$5:R35,$A$5:$A35,A36)</f>
        <v>3</v>
      </c>
      <c r="I36" s="25">
        <f>SUMIFS($S$5:S35,$A$5:$A35,A36)</f>
        <v>0</v>
      </c>
      <c r="J36" s="25">
        <f>SUMIFS($T$5:T35,$A$5:$A35,A36)</f>
        <v>1</v>
      </c>
      <c r="K36" s="25">
        <f>SUMIFS($U$5:U35,$A$5:$A35,A36)</f>
        <v>0</v>
      </c>
      <c r="L36" s="25">
        <f>SUMIFS($V$5:V35,$A$5:$A35,A36)</f>
        <v>0</v>
      </c>
      <c r="M36" s="27" t="s">
        <v>723</v>
      </c>
      <c r="N36" s="26" t="str">
        <f>IF(COUNTIF('07数值索引'!$A$5:$A$80,C36)=1,"PASS","CHECK")</f>
        <v>PASS</v>
      </c>
      <c r="O36" s="26">
        <f>SUMIF('07数值索引'!$A$5:$A$80,C36,'07数值索引'!$D$5:$D$80)</f>
        <v>-1</v>
      </c>
      <c r="P36" s="26">
        <f>SUMIF('07数值索引'!$A$5:$A$80,C36,'07数值索引'!$E$5:$E$80)</f>
        <v>0</v>
      </c>
      <c r="Q36" s="26">
        <f>SUMIF('07数值索引'!$A$5:$A$80,C36,'07数值索引'!$F$5:$F$80)</f>
        <v>0</v>
      </c>
      <c r="R36" s="26">
        <f>SUMIF('07数值索引'!$A$5:$A$80,C36,'07数值索引'!$G$5:$G$80)</f>
        <v>0</v>
      </c>
      <c r="S36" s="26">
        <f>SUMIF('07数值索引'!$A$5:$A$80,C36,'07数值索引'!$M$5:$M$80)</f>
        <v>0</v>
      </c>
      <c r="T36" s="26">
        <f>SUMIF('07数值索引'!$A$5:$A$80,C36,'07数值索引'!$H$5:$H$80)</f>
        <v>0</v>
      </c>
      <c r="U36" s="26">
        <f>SUMIF('07数值索引'!$A$5:$A$80,C36,'07数值索引'!$I$5:$I$80)</f>
        <v>1</v>
      </c>
      <c r="V36" s="26">
        <f>SUMIF('07数值索引'!$A$5:$A$80,C36,'07数值索引'!$J$5:$J$80)</f>
        <v>0</v>
      </c>
    </row>
    <row r="37" ht="14.5" spans="1:22">
      <c r="A37" s="24" t="s">
        <v>672</v>
      </c>
      <c r="B37" s="25">
        <v>9</v>
      </c>
      <c r="C37" s="26" t="s">
        <v>469</v>
      </c>
      <c r="D37" s="26" t="str">
        <f>IFERROR(VLOOKUP(C37,'07数值索引'!$A$5:$S$80,19,FALSE),"未找到事件")</f>
        <v>赃款成为迟到的补偿，但不兑换宽恕</v>
      </c>
      <c r="E37" s="25">
        <f>SUMIFS($O$5:O36,$A$5:$A36,A37)</f>
        <v>4</v>
      </c>
      <c r="F37" s="25">
        <f>SUMIFS($P$5:P36,$A$5:$A36,A37)</f>
        <v>2</v>
      </c>
      <c r="G37" s="25">
        <f>SUMIFS($Q$5:Q36,$A$5:$A36,A37)</f>
        <v>2</v>
      </c>
      <c r="H37" s="25">
        <f>SUMIFS($R$5:R36,$A$5:$A36,A37)</f>
        <v>3</v>
      </c>
      <c r="I37" s="25">
        <f>SUMIFS($S$5:S36,$A$5:$A36,A37)</f>
        <v>0</v>
      </c>
      <c r="J37" s="25">
        <f>SUMIFS($T$5:T36,$A$5:$A36,A37)</f>
        <v>1</v>
      </c>
      <c r="K37" s="25">
        <f>SUMIFS($U$5:U36,$A$5:$A36,A37)</f>
        <v>1</v>
      </c>
      <c r="L37" s="25">
        <f>SUMIFS($V$5:V36,$A$5:$A36,A37)</f>
        <v>0</v>
      </c>
      <c r="M37" s="27" t="s">
        <v>723</v>
      </c>
      <c r="N37" s="26" t="str">
        <f>IF(COUNTIF('07数值索引'!$A$5:$A$80,C37)=1,"PASS","CHECK")</f>
        <v>PASS</v>
      </c>
      <c r="O37" s="26">
        <f>SUMIF('07数值索引'!$A$5:$A$80,C37,'07数值索引'!$D$5:$D$80)</f>
        <v>2</v>
      </c>
      <c r="P37" s="26">
        <f>SUMIF('07数值索引'!$A$5:$A$80,C37,'07数值索引'!$E$5:$E$80)</f>
        <v>0</v>
      </c>
      <c r="Q37" s="26">
        <f>SUMIF('07数值索引'!$A$5:$A$80,C37,'07数值索引'!$F$5:$F$80)</f>
        <v>1</v>
      </c>
      <c r="R37" s="26">
        <f>SUMIF('07数值索引'!$A$5:$A$80,C37,'07数值索引'!$G$5:$G$80)</f>
        <v>0</v>
      </c>
      <c r="S37" s="26">
        <f>SUMIF('07数值索引'!$A$5:$A$80,C37,'07数值索引'!$M$5:$M$80)</f>
        <v>0</v>
      </c>
      <c r="T37" s="26">
        <f>SUMIF('07数值索引'!$A$5:$A$80,C37,'07数值索引'!$H$5:$H$80)</f>
        <v>0</v>
      </c>
      <c r="U37" s="26">
        <f>SUMIF('07数值索引'!$A$5:$A$80,C37,'07数值索引'!$I$5:$I$80)</f>
        <v>0</v>
      </c>
      <c r="V37" s="26">
        <f>SUMIF('07数值索引'!$A$5:$A$80,C37,'07数值索引'!$J$5:$J$80)</f>
        <v>0</v>
      </c>
    </row>
    <row r="38" ht="14.5" spans="1:22">
      <c r="A38" s="24" t="s">
        <v>672</v>
      </c>
      <c r="B38" s="25">
        <v>10</v>
      </c>
      <c r="C38" s="26" t="s">
        <v>484</v>
      </c>
      <c r="D38" s="26" t="str">
        <f>IFERROR(VLOOKUP(C38,'07数值索引'!$A$5:$S$80,19,FALSE),"未找到事件")</f>
        <v>调动信众并重新坐回丝线中央</v>
      </c>
      <c r="E38" s="25">
        <f>SUMIFS($O$5:O37,$A$5:$A37,A38)</f>
        <v>6</v>
      </c>
      <c r="F38" s="25">
        <f>SUMIFS($P$5:P37,$A$5:$A37,A38)</f>
        <v>2</v>
      </c>
      <c r="G38" s="25">
        <f>SUMIFS($Q$5:Q37,$A$5:$A37,A38)</f>
        <v>3</v>
      </c>
      <c r="H38" s="25">
        <f>SUMIFS($R$5:R37,$A$5:$A37,A38)</f>
        <v>3</v>
      </c>
      <c r="I38" s="25">
        <f>SUMIFS($S$5:S37,$A$5:$A37,A38)</f>
        <v>0</v>
      </c>
      <c r="J38" s="25">
        <f>SUMIFS($T$5:T37,$A$5:$A37,A38)</f>
        <v>1</v>
      </c>
      <c r="K38" s="25">
        <f>SUMIFS($U$5:U37,$A$5:$A37,A38)</f>
        <v>1</v>
      </c>
      <c r="L38" s="25">
        <f>SUMIFS($V$5:V37,$A$5:$A37,A38)</f>
        <v>0</v>
      </c>
      <c r="M38" s="27" t="s">
        <v>723</v>
      </c>
      <c r="N38" s="26" t="str">
        <f>IF(COUNTIF('07数值索引'!$A$5:$A$80,C38)=1,"PASS","CHECK")</f>
        <v>PASS</v>
      </c>
      <c r="O38" s="26">
        <f>SUMIF('07数值索引'!$A$5:$A$80,C38,'07数值索引'!$D$5:$D$80)</f>
        <v>0</v>
      </c>
      <c r="P38" s="26">
        <f>SUMIF('07数值索引'!$A$5:$A$80,C38,'07数值索引'!$E$5:$E$80)</f>
        <v>3</v>
      </c>
      <c r="Q38" s="26">
        <f>SUMIF('07数值索引'!$A$5:$A$80,C38,'07数值索引'!$F$5:$F$80)</f>
        <v>-2</v>
      </c>
      <c r="R38" s="26">
        <f>SUMIF('07数值索引'!$A$5:$A$80,C38,'07数值索引'!$G$5:$G$80)</f>
        <v>0</v>
      </c>
      <c r="S38" s="26">
        <f>SUMIF('07数值索引'!$A$5:$A$80,C38,'07数值索引'!$M$5:$M$80)</f>
        <v>0</v>
      </c>
      <c r="T38" s="26">
        <f>SUMIF('07数值索引'!$A$5:$A$80,C38,'07数值索引'!$H$5:$H$80)</f>
        <v>0</v>
      </c>
      <c r="U38" s="26">
        <f>SUMIF('07数值索引'!$A$5:$A$80,C38,'07数值索引'!$I$5:$I$80)</f>
        <v>0</v>
      </c>
      <c r="V38" s="26">
        <f>SUMIF('07数值索引'!$A$5:$A$80,C38,'07数值索引'!$J$5:$J$80)</f>
        <v>0</v>
      </c>
    </row>
    <row r="39" ht="29" spans="1:22">
      <c r="A39" s="24" t="s">
        <v>672</v>
      </c>
      <c r="B39" s="25">
        <v>11</v>
      </c>
      <c r="C39" s="26" t="s">
        <v>636</v>
      </c>
      <c r="D39" s="26" t="str">
        <f>IFERROR(VLOOKUP(C39,'07数值索引'!$A$5:$S$80,19,FALSE),"未找到事件")</f>
        <v>阿禾中信任时只带证据离开，不共享撤离路线；魏先在阿芸离开前截住她</v>
      </c>
      <c r="E39" s="25">
        <f>SUMIFS($O$5:O38,$A$5:$A38,A39)</f>
        <v>6</v>
      </c>
      <c r="F39" s="25">
        <f>SUMIFS($P$5:P38,$A$5:$A38,A39)</f>
        <v>5</v>
      </c>
      <c r="G39" s="25">
        <f>SUMIFS($Q$5:Q38,$A$5:$A38,A39)</f>
        <v>1</v>
      </c>
      <c r="H39" s="25">
        <f>SUMIFS($R$5:R38,$A$5:$A38,A39)</f>
        <v>3</v>
      </c>
      <c r="I39" s="25">
        <f>SUMIFS($S$5:S38,$A$5:$A38,A39)</f>
        <v>0</v>
      </c>
      <c r="J39" s="25">
        <f>SUMIFS($T$5:T38,$A$5:$A38,A39)</f>
        <v>1</v>
      </c>
      <c r="K39" s="25">
        <f>SUMIFS($U$5:U38,$A$5:$A38,A39)</f>
        <v>1</v>
      </c>
      <c r="L39" s="25">
        <f>SUMIFS($V$5:V38,$A$5:$A38,A39)</f>
        <v>0</v>
      </c>
      <c r="M39" s="27" t="s">
        <v>723</v>
      </c>
      <c r="N39" s="26" t="str">
        <f>IF(COUNTIF('07数值索引'!$A$5:$A$80,C39)=1,"PASS","CHECK")</f>
        <v>PASS</v>
      </c>
      <c r="O39" s="26">
        <f>SUMIF('07数值索引'!$A$5:$A$80,C39,'07数值索引'!$D$5:$D$80)</f>
        <v>0</v>
      </c>
      <c r="P39" s="26">
        <f>SUMIF('07数值索引'!$A$5:$A$80,C39,'07数值索引'!$E$5:$E$80)</f>
        <v>0</v>
      </c>
      <c r="Q39" s="26">
        <f>SUMIF('07数值索引'!$A$5:$A$80,C39,'07数值索引'!$F$5:$F$80)</f>
        <v>0</v>
      </c>
      <c r="R39" s="26">
        <f>SUMIF('07数值索引'!$A$5:$A$80,C39,'07数值索引'!$G$5:$G$80)</f>
        <v>2</v>
      </c>
      <c r="S39" s="26">
        <f>SUMIF('07数值索引'!$A$5:$A$80,C39,'07数值索引'!$M$5:$M$80)</f>
        <v>0</v>
      </c>
      <c r="T39" s="26">
        <f>SUMIF('07数值索引'!$A$5:$A$80,C39,'07数值索引'!$H$5:$H$80)</f>
        <v>0</v>
      </c>
      <c r="U39" s="26">
        <f>SUMIF('07数值索引'!$A$5:$A$80,C39,'07数值索引'!$I$5:$I$80)</f>
        <v>0</v>
      </c>
      <c r="V39" s="26">
        <f>SUMIF('07数值索引'!$A$5:$A$80,C39,'07数值索引'!$J$5:$J$80)</f>
        <v>0</v>
      </c>
    </row>
    <row r="40" ht="14.5" spans="1:22">
      <c r="A40" s="24" t="s">
        <v>672</v>
      </c>
      <c r="B40" s="25">
        <v>12</v>
      </c>
      <c r="C40" s="26" t="s">
        <v>218</v>
      </c>
      <c r="D40" s="26" t="str">
        <f>IFERROR(VLOOKUP(C40,'07数值索引'!$A$5:$S$80,19,FALSE),"未找到事件")</f>
        <v>佩印并以神谕宣布魏先背叛神意</v>
      </c>
      <c r="E40" s="25">
        <f>SUMIFS($O$5:O39,$A$5:$A39,A40)</f>
        <v>6</v>
      </c>
      <c r="F40" s="25">
        <f>SUMIFS($P$5:P39,$A$5:$A39,A40)</f>
        <v>5</v>
      </c>
      <c r="G40" s="25">
        <f>SUMIFS($Q$5:Q39,$A$5:$A39,A40)</f>
        <v>1</v>
      </c>
      <c r="H40" s="25">
        <f>SUMIFS($R$5:R39,$A$5:$A39,A40)</f>
        <v>5</v>
      </c>
      <c r="I40" s="25">
        <f>SUMIFS($S$5:S39,$A$5:$A39,A40)</f>
        <v>0</v>
      </c>
      <c r="J40" s="25">
        <f>SUMIFS($T$5:T39,$A$5:$A39,A40)</f>
        <v>1</v>
      </c>
      <c r="K40" s="25">
        <f>SUMIFS($U$5:U39,$A$5:$A39,A40)</f>
        <v>1</v>
      </c>
      <c r="L40" s="25">
        <f>SUMIFS($V$5:V39,$A$5:$A39,A40)</f>
        <v>0</v>
      </c>
      <c r="M40" s="27" t="s">
        <v>727</v>
      </c>
      <c r="N40" s="26" t="str">
        <f>IF(AND(COUNTIF('07数值索引'!$A$5:$A$80,C40)=1,COUNTIFS($A$5:$A39,A40,$C$5:$C39,"K-SEAL-WEAR")&gt;0),"PASS","CHECK")</f>
        <v>PASS</v>
      </c>
      <c r="O40" s="26">
        <f>SUMIF('07数值索引'!$A$5:$A$80,C40,'07数值索引'!$D$5:$D$80)</f>
        <v>0</v>
      </c>
      <c r="P40" s="26">
        <f>SUMIF('07数值索引'!$A$5:$A$80,C40,'07数值索引'!$E$5:$E$80)</f>
        <v>3</v>
      </c>
      <c r="Q40" s="26">
        <f>SUMIF('07数值索引'!$A$5:$A$80,C40,'07数值索引'!$F$5:$F$80)</f>
        <v>0</v>
      </c>
      <c r="R40" s="26">
        <f>SUMIF('07数值索引'!$A$5:$A$80,C40,'07数值索引'!$G$5:$G$80)</f>
        <v>2</v>
      </c>
      <c r="S40" s="26">
        <f>SUMIF('07数值索引'!$A$5:$A$80,C40,'07数值索引'!$M$5:$M$80)</f>
        <v>0</v>
      </c>
      <c r="T40" s="26">
        <f>SUMIF('07数值索引'!$A$5:$A$80,C40,'07数值索引'!$H$5:$H$80)</f>
        <v>0</v>
      </c>
      <c r="U40" s="26">
        <f>SUMIF('07数值索引'!$A$5:$A$80,C40,'07数值索引'!$I$5:$I$80)</f>
        <v>0</v>
      </c>
      <c r="V40" s="26">
        <f>SUMIF('07数值索引'!$A$5:$A$80,C40,'07数值索引'!$J$5:$J$80)</f>
        <v>0</v>
      </c>
    </row>
    <row r="41" ht="14.5" spans="1:22">
      <c r="A41" s="24" t="s">
        <v>675</v>
      </c>
      <c r="B41" s="25">
        <v>1</v>
      </c>
      <c r="C41" s="26" t="s">
        <v>582</v>
      </c>
      <c r="D41" s="26" t="str">
        <f>IFERROR(VLOOKUP(C41,'07数值索引'!$A$5:$S$80,19,FALSE),"未找到事件")</f>
        <v>阿禾因救人而保留最低限度善意；追兵已在沿河搜索</v>
      </c>
      <c r="E41" s="25">
        <f t="shared" ref="E41:L41" si="4">0</f>
        <v>0</v>
      </c>
      <c r="F41" s="25">
        <f t="shared" si="4"/>
        <v>0</v>
      </c>
      <c r="G41" s="25">
        <f t="shared" si="4"/>
        <v>0</v>
      </c>
      <c r="H41" s="25">
        <f t="shared" si="4"/>
        <v>0</v>
      </c>
      <c r="I41" s="25">
        <f t="shared" si="4"/>
        <v>0</v>
      </c>
      <c r="J41" s="25">
        <f t="shared" si="4"/>
        <v>0</v>
      </c>
      <c r="K41" s="25">
        <f t="shared" si="4"/>
        <v>0</v>
      </c>
      <c r="L41" s="25">
        <f t="shared" si="4"/>
        <v>0</v>
      </c>
      <c r="M41" s="27" t="s">
        <v>723</v>
      </c>
      <c r="N41" s="26" t="str">
        <f>IF(COUNTIF('07数值索引'!$A$5:$A$80,C41)=1,"PASS","CHECK")</f>
        <v>PASS</v>
      </c>
      <c r="O41" s="26">
        <f>SUMIF('07数值索引'!$A$5:$A$80,C41,'07数值索引'!$D$5:$D$80)</f>
        <v>0</v>
      </c>
      <c r="P41" s="26">
        <f>SUMIF('07数值索引'!$A$5:$A$80,C41,'07数值索引'!$E$5:$E$80)</f>
        <v>0</v>
      </c>
      <c r="Q41" s="26">
        <f>SUMIF('07数值索引'!$A$5:$A$80,C41,'07数值索引'!$F$5:$F$80)</f>
        <v>1</v>
      </c>
      <c r="R41" s="26">
        <f>SUMIF('07数值索引'!$A$5:$A$80,C41,'07数值索引'!$G$5:$G$80)</f>
        <v>1</v>
      </c>
      <c r="S41" s="26">
        <f>SUMIF('07数值索引'!$A$5:$A$80,C41,'07数值索引'!$M$5:$M$80)</f>
        <v>0</v>
      </c>
      <c r="T41" s="26">
        <f>SUMIF('07数值索引'!$A$5:$A$80,C41,'07数值索引'!$H$5:$H$80)</f>
        <v>0</v>
      </c>
      <c r="U41" s="26">
        <f>SUMIF('07数值索引'!$A$5:$A$80,C41,'07数值索引'!$I$5:$I$80)</f>
        <v>0</v>
      </c>
      <c r="V41" s="26">
        <f>SUMIF('07数值索引'!$A$5:$A$80,C41,'07数值索引'!$J$5:$J$80)</f>
        <v>0</v>
      </c>
    </row>
    <row r="42" ht="14.5" spans="1:22">
      <c r="A42" s="24" t="s">
        <v>675</v>
      </c>
      <c r="B42" s="25">
        <v>2</v>
      </c>
      <c r="C42" s="26" t="s">
        <v>150</v>
      </c>
      <c r="D42" s="26" t="str">
        <f>IFERROR(VLOOKUP(C42,'07数值索引'!$A$5:$S$80,19,FALSE),"未找到事件")</f>
        <v>否认追兵存在；阿禾暗中观察</v>
      </c>
      <c r="E42" s="25">
        <f>SUMIFS($O$5:O41,$A$5:$A41,A42)</f>
        <v>0</v>
      </c>
      <c r="F42" s="25">
        <f>SUMIFS($P$5:P41,$A$5:$A41,A42)</f>
        <v>0</v>
      </c>
      <c r="G42" s="25">
        <f>SUMIFS($Q$5:Q41,$A$5:$A41,A42)</f>
        <v>1</v>
      </c>
      <c r="H42" s="25">
        <f>SUMIFS($R$5:R41,$A$5:$A41,A42)</f>
        <v>1</v>
      </c>
      <c r="I42" s="25">
        <f>SUMIFS($S$5:S41,$A$5:$A41,A42)</f>
        <v>0</v>
      </c>
      <c r="J42" s="25">
        <f>SUMIFS($T$5:T41,$A$5:$A41,A42)</f>
        <v>0</v>
      </c>
      <c r="K42" s="25">
        <f>SUMIFS($U$5:U41,$A$5:$A41,A42)</f>
        <v>0</v>
      </c>
      <c r="L42" s="25">
        <f>SUMIFS($V$5:V41,$A$5:$A41,A42)</f>
        <v>0</v>
      </c>
      <c r="M42" s="27" t="s">
        <v>723</v>
      </c>
      <c r="N42" s="26" t="str">
        <f>IF(COUNTIF('07数值索引'!$A$5:$A$80,C42)=1,"PASS","CHECK")</f>
        <v>PASS</v>
      </c>
      <c r="O42" s="26">
        <f>SUMIF('07数值索引'!$A$5:$A$80,C42,'07数值索引'!$D$5:$D$80)</f>
        <v>0</v>
      </c>
      <c r="P42" s="26">
        <f>SUMIF('07数值索引'!$A$5:$A$80,C42,'07数值索引'!$E$5:$E$80)</f>
        <v>0</v>
      </c>
      <c r="Q42" s="26">
        <f>SUMIF('07数值索引'!$A$5:$A$80,C42,'07数值索引'!$F$5:$F$80)</f>
        <v>-1</v>
      </c>
      <c r="R42" s="26">
        <f>SUMIF('07数值索引'!$A$5:$A$80,C42,'07数值索引'!$G$5:$G$80)</f>
        <v>0</v>
      </c>
      <c r="S42" s="26">
        <f>SUMIF('07数值索引'!$A$5:$A$80,C42,'07数值索引'!$M$5:$M$80)</f>
        <v>0</v>
      </c>
      <c r="T42" s="26">
        <f>SUMIF('07数值索引'!$A$5:$A$80,C42,'07数值索引'!$H$5:$H$80)</f>
        <v>0</v>
      </c>
      <c r="U42" s="26">
        <f>SUMIF('07数值索引'!$A$5:$A$80,C42,'07数值索引'!$I$5:$I$80)</f>
        <v>0</v>
      </c>
      <c r="V42" s="26">
        <f>SUMIF('07数值索引'!$A$5:$A$80,C42,'07数值索引'!$J$5:$J$80)</f>
        <v>0</v>
      </c>
    </row>
    <row r="43" ht="14.5" spans="1:22">
      <c r="A43" s="24" t="s">
        <v>675</v>
      </c>
      <c r="B43" s="25">
        <v>3</v>
      </c>
      <c r="C43" s="26" t="s">
        <v>165</v>
      </c>
      <c r="D43" s="26" t="str">
        <f>IFERROR(VLOOKUP(C43,'07数值索引'!$A$5:$S$80,19,FALSE),"未找到事件")</f>
        <v>追问旧法会，保留判断</v>
      </c>
      <c r="E43" s="25">
        <f>SUMIFS($O$5:O42,$A$5:$A42,A43)</f>
        <v>0</v>
      </c>
      <c r="F43" s="25">
        <f>SUMIFS($P$5:P42,$A$5:$A42,A43)</f>
        <v>0</v>
      </c>
      <c r="G43" s="25">
        <f>SUMIFS($Q$5:Q42,$A$5:$A42,A43)</f>
        <v>0</v>
      </c>
      <c r="H43" s="25">
        <f>SUMIFS($R$5:R42,$A$5:$A42,A43)</f>
        <v>1</v>
      </c>
      <c r="I43" s="25">
        <f>SUMIFS($S$5:S42,$A$5:$A42,A43)</f>
        <v>0</v>
      </c>
      <c r="J43" s="25">
        <f>SUMIFS($T$5:T42,$A$5:$A42,A43)</f>
        <v>0</v>
      </c>
      <c r="K43" s="25">
        <f>SUMIFS($U$5:U42,$A$5:$A42,A43)</f>
        <v>0</v>
      </c>
      <c r="L43" s="25">
        <f>SUMIFS($V$5:V42,$A$5:$A42,A43)</f>
        <v>0</v>
      </c>
      <c r="M43" s="27" t="s">
        <v>723</v>
      </c>
      <c r="N43" s="26" t="str">
        <f>IF(COUNTIF('07数值索引'!$A$5:$A$80,C43)=1,"PASS","CHECK")</f>
        <v>PASS</v>
      </c>
      <c r="O43" s="26">
        <f>SUMIF('07数值索引'!$A$5:$A$80,C43,'07数值索引'!$D$5:$D$80)</f>
        <v>0</v>
      </c>
      <c r="P43" s="26">
        <f>SUMIF('07数值索引'!$A$5:$A$80,C43,'07数值索引'!$E$5:$E$80)</f>
        <v>0</v>
      </c>
      <c r="Q43" s="26">
        <f>SUMIF('07数值索引'!$A$5:$A$80,C43,'07数值索引'!$F$5:$F$80)</f>
        <v>0</v>
      </c>
      <c r="R43" s="26">
        <f>SUMIF('07数值索引'!$A$5:$A$80,C43,'07数值索引'!$G$5:$G$80)</f>
        <v>0</v>
      </c>
      <c r="S43" s="26">
        <f>SUMIF('07数值索引'!$A$5:$A$80,C43,'07数值索引'!$M$5:$M$80)</f>
        <v>0</v>
      </c>
      <c r="T43" s="26">
        <f>SUMIF('07数值索引'!$A$5:$A$80,C43,'07数值索引'!$H$5:$H$80)</f>
        <v>0</v>
      </c>
      <c r="U43" s="26">
        <f>SUMIF('07数值索引'!$A$5:$A$80,C43,'07数值索引'!$I$5:$I$80)</f>
        <v>0</v>
      </c>
      <c r="V43" s="26">
        <f>SUMIF('07数值索引'!$A$5:$A$80,C43,'07数值索引'!$J$5:$J$80)</f>
        <v>0</v>
      </c>
    </row>
    <row r="44" ht="14.5" spans="1:22">
      <c r="A44" s="24" t="s">
        <v>675</v>
      </c>
      <c r="B44" s="25">
        <v>4</v>
      </c>
      <c r="C44" s="26" t="s">
        <v>284</v>
      </c>
      <c r="D44" s="26" t="str">
        <f>IFERROR(VLOOKUP(C44,'07数值索引'!$A$5:$S$80,19,FALSE),"未找到事件")</f>
        <v>他趁乱开后门放粮，主角没有暴露，也得到接头线索</v>
      </c>
      <c r="E44" s="25">
        <f>SUMIFS($O$5:O43,$A$5:$A43,A44)</f>
        <v>0</v>
      </c>
      <c r="F44" s="25">
        <f>SUMIFS($P$5:P43,$A$5:$A43,A44)</f>
        <v>0</v>
      </c>
      <c r="G44" s="25">
        <f>SUMIFS($Q$5:Q43,$A$5:$A43,A44)</f>
        <v>0</v>
      </c>
      <c r="H44" s="25">
        <f>SUMIFS($R$5:R43,$A$5:$A43,A44)</f>
        <v>1</v>
      </c>
      <c r="I44" s="25">
        <f>SUMIFS($S$5:S43,$A$5:$A43,A44)</f>
        <v>0</v>
      </c>
      <c r="J44" s="25">
        <f>SUMIFS($T$5:T43,$A$5:$A43,A44)</f>
        <v>0</v>
      </c>
      <c r="K44" s="25">
        <f>SUMIFS($U$5:U43,$A$5:$A43,A44)</f>
        <v>0</v>
      </c>
      <c r="L44" s="25">
        <f>SUMIFS($V$5:V43,$A$5:$A43,A44)</f>
        <v>0</v>
      </c>
      <c r="M44" s="27" t="s">
        <v>723</v>
      </c>
      <c r="N44" s="26" t="str">
        <f>IF(COUNTIF('07数值索引'!$A$5:$A$80,C44)=1,"PASS","CHECK")</f>
        <v>PASS</v>
      </c>
      <c r="O44" s="26">
        <f>SUMIF('07数值索引'!$A$5:$A$80,C44,'07数值索引'!$D$5:$D$80)</f>
        <v>1</v>
      </c>
      <c r="P44" s="26">
        <f>SUMIF('07数值索引'!$A$5:$A$80,C44,'07数值索引'!$E$5:$E$80)</f>
        <v>0</v>
      </c>
      <c r="Q44" s="26">
        <f>SUMIF('07数值索引'!$A$5:$A$80,C44,'07数值索引'!$F$5:$F$80)</f>
        <v>0</v>
      </c>
      <c r="R44" s="26">
        <f>SUMIF('07数值索引'!$A$5:$A$80,C44,'07数值索引'!$G$5:$G$80)</f>
        <v>0</v>
      </c>
      <c r="S44" s="26">
        <f>SUMIF('07数值索引'!$A$5:$A$80,C44,'07数值索引'!$M$5:$M$80)</f>
        <v>1</v>
      </c>
      <c r="T44" s="26">
        <f>SUMIF('07数值索引'!$A$5:$A$80,C44,'07数值索引'!$H$5:$H$80)</f>
        <v>0</v>
      </c>
      <c r="U44" s="26">
        <f>SUMIF('07数值索引'!$A$5:$A$80,C44,'07数值索引'!$I$5:$I$80)</f>
        <v>0</v>
      </c>
      <c r="V44" s="26">
        <f>SUMIF('07数值索引'!$A$5:$A$80,C44,'07数值索引'!$J$5:$J$80)</f>
        <v>0</v>
      </c>
    </row>
    <row r="45" ht="14.5" spans="1:22">
      <c r="A45" s="24" t="s">
        <v>675</v>
      </c>
      <c r="B45" s="25">
        <v>5</v>
      </c>
      <c r="C45" s="26" t="s">
        <v>179</v>
      </c>
      <c r="D45" s="26" t="str">
        <f>IFERROR(VLOOKUP(C45,'07数值索引'!$A$5:$S$80,19,FALSE),"未找到事件")</f>
        <v>只承认与万清教有关</v>
      </c>
      <c r="E45" s="25">
        <f>SUMIFS($O$5:O44,$A$5:$A44,A45)</f>
        <v>1</v>
      </c>
      <c r="F45" s="25">
        <f>SUMIFS($P$5:P44,$A$5:$A44,A45)</f>
        <v>0</v>
      </c>
      <c r="G45" s="25">
        <f>SUMIFS($Q$5:Q44,$A$5:$A44,A45)</f>
        <v>0</v>
      </c>
      <c r="H45" s="25">
        <f>SUMIFS($R$5:R44,$A$5:$A44,A45)</f>
        <v>1</v>
      </c>
      <c r="I45" s="25">
        <f>SUMIFS($S$5:S44,$A$5:$A44,A45)</f>
        <v>1</v>
      </c>
      <c r="J45" s="25">
        <f>SUMIFS($T$5:T44,$A$5:$A44,A45)</f>
        <v>0</v>
      </c>
      <c r="K45" s="25">
        <f>SUMIFS($U$5:U44,$A$5:$A44,A45)</f>
        <v>0</v>
      </c>
      <c r="L45" s="25">
        <f>SUMIFS($V$5:V44,$A$5:$A44,A45)</f>
        <v>0</v>
      </c>
      <c r="M45" s="27" t="s">
        <v>723</v>
      </c>
      <c r="N45" s="26" t="str">
        <f>IF(COUNTIF('07数值索引'!$A$5:$A$80,C45)=1,"PASS","CHECK")</f>
        <v>PASS</v>
      </c>
      <c r="O45" s="26">
        <f>SUMIF('07数值索引'!$A$5:$A$80,C45,'07数值索引'!$D$5:$D$80)</f>
        <v>0</v>
      </c>
      <c r="P45" s="26">
        <f>SUMIF('07数值索引'!$A$5:$A$80,C45,'07数值索引'!$E$5:$E$80)</f>
        <v>0</v>
      </c>
      <c r="Q45" s="26">
        <f>SUMIF('07数值索引'!$A$5:$A$80,C45,'07数值索引'!$F$5:$F$80)</f>
        <v>-1</v>
      </c>
      <c r="R45" s="26">
        <f>SUMIF('07数值索引'!$A$5:$A$80,C45,'07数值索引'!$G$5:$G$80)</f>
        <v>0</v>
      </c>
      <c r="S45" s="26">
        <f>SUMIF('07数值索引'!$A$5:$A$80,C45,'07数值索引'!$M$5:$M$80)</f>
        <v>0</v>
      </c>
      <c r="T45" s="26">
        <f>SUMIF('07数值索引'!$A$5:$A$80,C45,'07数值索引'!$H$5:$H$80)</f>
        <v>0</v>
      </c>
      <c r="U45" s="26">
        <f>SUMIF('07数值索引'!$A$5:$A$80,C45,'07数值索引'!$I$5:$I$80)</f>
        <v>0</v>
      </c>
      <c r="V45" s="26">
        <f>SUMIF('07数值索引'!$A$5:$A$80,C45,'07数值索引'!$J$5:$J$80)</f>
        <v>0</v>
      </c>
    </row>
    <row r="46" ht="14.5" spans="1:22">
      <c r="A46" s="24" t="s">
        <v>675</v>
      </c>
      <c r="B46" s="25">
        <v>6</v>
      </c>
      <c r="C46" s="26" t="s">
        <v>201</v>
      </c>
      <c r="D46" s="26" t="str">
        <f>IFERROR(VLOOKUP(C46,'07数值索引'!$A$5:$S$80,19,FALSE),"未找到事件")</f>
        <v>用失忆切割过去与现在</v>
      </c>
      <c r="E46" s="25">
        <f>SUMIFS($O$5:O45,$A$5:$A45,A46)</f>
        <v>1</v>
      </c>
      <c r="F46" s="25">
        <f>SUMIFS($P$5:P45,$A$5:$A45,A46)</f>
        <v>0</v>
      </c>
      <c r="G46" s="25">
        <f>SUMIFS($Q$5:Q45,$A$5:$A45,A46)</f>
        <v>-1</v>
      </c>
      <c r="H46" s="25">
        <f>SUMIFS($R$5:R45,$A$5:$A45,A46)</f>
        <v>1</v>
      </c>
      <c r="I46" s="25">
        <f>SUMIFS($S$5:S45,$A$5:$A45,A46)</f>
        <v>1</v>
      </c>
      <c r="J46" s="25">
        <f>SUMIFS($T$5:T45,$A$5:$A45,A46)</f>
        <v>0</v>
      </c>
      <c r="K46" s="25">
        <f>SUMIFS($U$5:U45,$A$5:$A45,A46)</f>
        <v>0</v>
      </c>
      <c r="L46" s="25">
        <f>SUMIFS($V$5:V45,$A$5:$A45,A46)</f>
        <v>0</v>
      </c>
      <c r="M46" s="27" t="s">
        <v>723</v>
      </c>
      <c r="N46" s="26" t="str">
        <f>IF(COUNTIF('07数值索引'!$A$5:$A$80,C46)=1,"PASS","CHECK")</f>
        <v>PASS</v>
      </c>
      <c r="O46" s="26">
        <f>SUMIF('07数值索引'!$A$5:$A$80,C46,'07数值索引'!$D$5:$D$80)</f>
        <v>-2</v>
      </c>
      <c r="P46" s="26">
        <f>SUMIF('07数值索引'!$A$5:$A$80,C46,'07数值索引'!$E$5:$E$80)</f>
        <v>0</v>
      </c>
      <c r="Q46" s="26">
        <f>SUMIF('07数值索引'!$A$5:$A$80,C46,'07数值索引'!$F$5:$F$80)</f>
        <v>-2</v>
      </c>
      <c r="R46" s="26">
        <f>SUMIF('07数值索引'!$A$5:$A$80,C46,'07数值索引'!$G$5:$G$80)</f>
        <v>0</v>
      </c>
      <c r="S46" s="26">
        <f>SUMIF('07数值索引'!$A$5:$A$80,C46,'07数值索引'!$M$5:$M$80)</f>
        <v>0</v>
      </c>
      <c r="T46" s="26">
        <f>SUMIF('07数值索引'!$A$5:$A$80,C46,'07数值索引'!$H$5:$H$80)</f>
        <v>0</v>
      </c>
      <c r="U46" s="26">
        <f>SUMIF('07数值索引'!$A$5:$A$80,C46,'07数值索引'!$I$5:$I$80)</f>
        <v>0</v>
      </c>
      <c r="V46" s="26">
        <f>SUMIF('07数值索引'!$A$5:$A$80,C46,'07数值索引'!$J$5:$J$80)</f>
        <v>0</v>
      </c>
    </row>
    <row r="47" ht="14.5" spans="1:22">
      <c r="A47" s="24" t="s">
        <v>675</v>
      </c>
      <c r="B47" s="25">
        <v>7</v>
      </c>
      <c r="C47" s="26" t="s">
        <v>454</v>
      </c>
      <c r="D47" s="26" t="str">
        <f>IFERROR(VLOOKUP(C47,'07数值索引'!$A$5:$S$80,19,FALSE),"未找到事件")</f>
        <v>保留勒索、自保和销毁的可能</v>
      </c>
      <c r="E47" s="25">
        <f>SUMIFS($O$5:O46,$A$5:$A46,A47)</f>
        <v>-1</v>
      </c>
      <c r="F47" s="25">
        <f>SUMIFS($P$5:P46,$A$5:$A46,A47)</f>
        <v>0</v>
      </c>
      <c r="G47" s="25">
        <f>SUMIFS($Q$5:Q46,$A$5:$A46,A47)</f>
        <v>-3</v>
      </c>
      <c r="H47" s="25">
        <f>SUMIFS($R$5:R46,$A$5:$A46,A47)</f>
        <v>1</v>
      </c>
      <c r="I47" s="25">
        <f>SUMIFS($S$5:S46,$A$5:$A46,A47)</f>
        <v>1</v>
      </c>
      <c r="J47" s="25">
        <f>SUMIFS($T$5:T46,$A$5:$A46,A47)</f>
        <v>0</v>
      </c>
      <c r="K47" s="25">
        <f>SUMIFS($U$5:U46,$A$5:$A46,A47)</f>
        <v>0</v>
      </c>
      <c r="L47" s="25">
        <f>SUMIFS($V$5:V46,$A$5:$A46,A47)</f>
        <v>0</v>
      </c>
      <c r="M47" s="27" t="s">
        <v>723</v>
      </c>
      <c r="N47" s="26" t="str">
        <f>IF(COUNTIF('07数值索引'!$A$5:$A$80,C47)=1,"PASS","CHECK")</f>
        <v>PASS</v>
      </c>
      <c r="O47" s="26">
        <f>SUMIF('07数值索引'!$A$5:$A$80,C47,'07数值索引'!$D$5:$D$80)</f>
        <v>-2</v>
      </c>
      <c r="P47" s="26">
        <f>SUMIF('07数值索引'!$A$5:$A$80,C47,'07数值索引'!$E$5:$E$80)</f>
        <v>0</v>
      </c>
      <c r="Q47" s="26">
        <f>SUMIF('07数值索引'!$A$5:$A$80,C47,'07数值索引'!$F$5:$F$80)</f>
        <v>0</v>
      </c>
      <c r="R47" s="26">
        <f>SUMIF('07数值索引'!$A$5:$A$80,C47,'07数值索引'!$G$5:$G$80)</f>
        <v>0</v>
      </c>
      <c r="S47" s="26">
        <f>SUMIF('07数值索引'!$A$5:$A$80,C47,'07数值索引'!$M$5:$M$80)</f>
        <v>0</v>
      </c>
      <c r="T47" s="26">
        <f>SUMIF('07数值索引'!$A$5:$A$80,C47,'07数值索引'!$H$5:$H$80)</f>
        <v>0</v>
      </c>
      <c r="U47" s="26">
        <f>SUMIF('07数值索引'!$A$5:$A$80,C47,'07数值索引'!$I$5:$I$80)</f>
        <v>1</v>
      </c>
      <c r="V47" s="26">
        <f>SUMIF('07数值索引'!$A$5:$A$80,C47,'07数值索引'!$J$5:$J$80)</f>
        <v>0</v>
      </c>
    </row>
    <row r="48" ht="14.5" spans="1:22">
      <c r="A48" s="24" t="s">
        <v>675</v>
      </c>
      <c r="B48" s="25">
        <v>8</v>
      </c>
      <c r="C48" s="26" t="s">
        <v>467</v>
      </c>
      <c r="D48" s="26" t="str">
        <f>IFERROR(VLOOKUP(C48,'07数值索引'!$A$5:$S$80,19,FALSE),"未找到事件")</f>
        <v>保留自保筹码，不让真相抵达他人</v>
      </c>
      <c r="E48" s="25">
        <f>SUMIFS($O$5:O47,$A$5:$A47,A48)</f>
        <v>-3</v>
      </c>
      <c r="F48" s="25">
        <f>SUMIFS($P$5:P47,$A$5:$A47,A48)</f>
        <v>0</v>
      </c>
      <c r="G48" s="25">
        <f>SUMIFS($Q$5:Q47,$A$5:$A47,A48)</f>
        <v>-3</v>
      </c>
      <c r="H48" s="25">
        <f>SUMIFS($R$5:R47,$A$5:$A47,A48)</f>
        <v>1</v>
      </c>
      <c r="I48" s="25">
        <f>SUMIFS($S$5:S47,$A$5:$A47,A48)</f>
        <v>1</v>
      </c>
      <c r="J48" s="25">
        <f>SUMIFS($T$5:T47,$A$5:$A47,A48)</f>
        <v>0</v>
      </c>
      <c r="K48" s="25">
        <f>SUMIFS($U$5:U47,$A$5:$A47,A48)</f>
        <v>1</v>
      </c>
      <c r="L48" s="25">
        <f>SUMIFS($V$5:V47,$A$5:$A47,A48)</f>
        <v>0</v>
      </c>
      <c r="M48" s="27" t="s">
        <v>723</v>
      </c>
      <c r="N48" s="26" t="str">
        <f>IF(COUNTIF('07数值索引'!$A$5:$A$80,C48)=1,"PASS","CHECK")</f>
        <v>PASS</v>
      </c>
      <c r="O48" s="26">
        <f>SUMIF('07数值索引'!$A$5:$A$80,C48,'07数值索引'!$D$5:$D$80)</f>
        <v>-1</v>
      </c>
      <c r="P48" s="26">
        <f>SUMIF('07数值索引'!$A$5:$A$80,C48,'07数值索引'!$E$5:$E$80)</f>
        <v>0</v>
      </c>
      <c r="Q48" s="26">
        <f>SUMIF('07数值索引'!$A$5:$A$80,C48,'07数值索引'!$F$5:$F$80)</f>
        <v>0</v>
      </c>
      <c r="R48" s="26">
        <f>SUMIF('07数值索引'!$A$5:$A$80,C48,'07数值索引'!$G$5:$G$80)</f>
        <v>0</v>
      </c>
      <c r="S48" s="26">
        <f>SUMIF('07数值索引'!$A$5:$A$80,C48,'07数值索引'!$M$5:$M$80)</f>
        <v>0</v>
      </c>
      <c r="T48" s="26">
        <f>SUMIF('07数值索引'!$A$5:$A$80,C48,'07数值索引'!$H$5:$H$80)</f>
        <v>0</v>
      </c>
      <c r="U48" s="26">
        <f>SUMIF('07数值索引'!$A$5:$A$80,C48,'07数值索引'!$I$5:$I$80)</f>
        <v>1</v>
      </c>
      <c r="V48" s="26">
        <f>SUMIF('07数值索引'!$A$5:$A$80,C48,'07数值索引'!$J$5:$J$80)</f>
        <v>0</v>
      </c>
    </row>
    <row r="49" ht="14.5" spans="1:22">
      <c r="A49" s="24" t="s">
        <v>675</v>
      </c>
      <c r="B49" s="25">
        <v>9</v>
      </c>
      <c r="C49" s="26" t="s">
        <v>476</v>
      </c>
      <c r="D49" s="26" t="str">
        <f>IFERROR(VLOOKUP(C49,'07数值索引'!$A$5:$S$80,19,FALSE),"未找到事件")</f>
        <v>将赃款再次变成逃亡资本</v>
      </c>
      <c r="E49" s="25">
        <f>SUMIFS($O$5:O48,$A$5:$A48,A49)</f>
        <v>-4</v>
      </c>
      <c r="F49" s="25">
        <f>SUMIFS($P$5:P48,$A$5:$A48,A49)</f>
        <v>0</v>
      </c>
      <c r="G49" s="25">
        <f>SUMIFS($Q$5:Q48,$A$5:$A48,A49)</f>
        <v>-3</v>
      </c>
      <c r="H49" s="25">
        <f>SUMIFS($R$5:R48,$A$5:$A48,A49)</f>
        <v>1</v>
      </c>
      <c r="I49" s="25">
        <f>SUMIFS($S$5:S48,$A$5:$A48,A49)</f>
        <v>1</v>
      </c>
      <c r="J49" s="25">
        <f>SUMIFS($T$5:T48,$A$5:$A48,A49)</f>
        <v>0</v>
      </c>
      <c r="K49" s="25">
        <f>SUMIFS($U$5:U48,$A$5:$A48,A49)</f>
        <v>2</v>
      </c>
      <c r="L49" s="25">
        <f>SUMIFS($V$5:V48,$A$5:$A48,A49)</f>
        <v>0</v>
      </c>
      <c r="M49" s="27" t="s">
        <v>723</v>
      </c>
      <c r="N49" s="26" t="str">
        <f>IF(COUNTIF('07数值索引'!$A$5:$A$80,C49)=1,"PASS","CHECK")</f>
        <v>PASS</v>
      </c>
      <c r="O49" s="26">
        <f>SUMIF('07数值索引'!$A$5:$A$80,C49,'07数值索引'!$D$5:$D$80)</f>
        <v>-2</v>
      </c>
      <c r="P49" s="26">
        <f>SUMIF('07数值索引'!$A$5:$A$80,C49,'07数值索引'!$E$5:$E$80)</f>
        <v>0</v>
      </c>
      <c r="Q49" s="26">
        <f>SUMIF('07数值索引'!$A$5:$A$80,C49,'07数值索引'!$F$5:$F$80)</f>
        <v>-2</v>
      </c>
      <c r="R49" s="26">
        <f>SUMIF('07数值索引'!$A$5:$A$80,C49,'07数值索引'!$G$5:$G$80)</f>
        <v>0</v>
      </c>
      <c r="S49" s="26">
        <f>SUMIF('07数值索引'!$A$5:$A$80,C49,'07数值索引'!$M$5:$M$80)</f>
        <v>0</v>
      </c>
      <c r="T49" s="26">
        <f>SUMIF('07数值索引'!$A$5:$A$80,C49,'07数值索引'!$H$5:$H$80)</f>
        <v>0</v>
      </c>
      <c r="U49" s="26">
        <f>SUMIF('07数值索引'!$A$5:$A$80,C49,'07数值索引'!$I$5:$I$80)</f>
        <v>0</v>
      </c>
      <c r="V49" s="26">
        <f>SUMIF('07数值索引'!$A$5:$A$80,C49,'07数值索引'!$J$5:$J$80)</f>
        <v>1</v>
      </c>
    </row>
    <row r="50" ht="14.5" spans="1:22">
      <c r="A50" s="24" t="s">
        <v>675</v>
      </c>
      <c r="B50" s="25">
        <v>10</v>
      </c>
      <c r="C50" s="26" t="s">
        <v>487</v>
      </c>
      <c r="D50" s="26" t="str">
        <f>IFERROR(VLOOKUP(C50,'07数值索引'!$A$5:$S$80,19,FALSE),"未找到事件")</f>
        <v>没有立刻使用，却保留随时返回的可能</v>
      </c>
      <c r="E50" s="25">
        <f>SUMIFS($O$5:O49,$A$5:$A49,A50)</f>
        <v>-6</v>
      </c>
      <c r="F50" s="25">
        <f>SUMIFS($P$5:P49,$A$5:$A49,A50)</f>
        <v>0</v>
      </c>
      <c r="G50" s="25">
        <f>SUMIFS($Q$5:Q49,$A$5:$A49,A50)</f>
        <v>-5</v>
      </c>
      <c r="H50" s="25">
        <f>SUMIFS($R$5:R49,$A$5:$A49,A50)</f>
        <v>1</v>
      </c>
      <c r="I50" s="25">
        <f>SUMIFS($S$5:S49,$A$5:$A49,A50)</f>
        <v>1</v>
      </c>
      <c r="J50" s="25">
        <f>SUMIFS($T$5:T49,$A$5:$A49,A50)</f>
        <v>0</v>
      </c>
      <c r="K50" s="25">
        <f>SUMIFS($U$5:U49,$A$5:$A49,A50)</f>
        <v>2</v>
      </c>
      <c r="L50" s="25">
        <f>SUMIFS($V$5:V49,$A$5:$A49,A50)</f>
        <v>1</v>
      </c>
      <c r="M50" s="27" t="s">
        <v>723</v>
      </c>
      <c r="N50" s="26" t="str">
        <f>IF(COUNTIF('07数值索引'!$A$5:$A$80,C50)=1,"PASS","CHECK")</f>
        <v>PASS</v>
      </c>
      <c r="O50" s="26">
        <f>SUMIF('07数值索引'!$A$5:$A$80,C50,'07数值索引'!$D$5:$D$80)</f>
        <v>-1</v>
      </c>
      <c r="P50" s="26">
        <f>SUMIF('07数值索引'!$A$5:$A$80,C50,'07数值索引'!$E$5:$E$80)</f>
        <v>1</v>
      </c>
      <c r="Q50" s="26">
        <f>SUMIF('07数值索引'!$A$5:$A$80,C50,'07数值索引'!$F$5:$F$80)</f>
        <v>0</v>
      </c>
      <c r="R50" s="26">
        <f>SUMIF('07数值索引'!$A$5:$A$80,C50,'07数值索引'!$G$5:$G$80)</f>
        <v>0</v>
      </c>
      <c r="S50" s="26">
        <f>SUMIF('07数值索引'!$A$5:$A$80,C50,'07数值索引'!$M$5:$M$80)</f>
        <v>0</v>
      </c>
      <c r="T50" s="26">
        <f>SUMIF('07数值索引'!$A$5:$A$80,C50,'07数值索引'!$H$5:$H$80)</f>
        <v>0</v>
      </c>
      <c r="U50" s="26">
        <f>SUMIF('07数值索引'!$A$5:$A$80,C50,'07数值索引'!$I$5:$I$80)</f>
        <v>0</v>
      </c>
      <c r="V50" s="26">
        <f>SUMIF('07数值索引'!$A$5:$A$80,C50,'07数值索引'!$J$5:$J$80)</f>
        <v>0</v>
      </c>
    </row>
    <row r="51" ht="14.5" spans="1:22">
      <c r="A51" s="24" t="s">
        <v>675</v>
      </c>
      <c r="B51" s="25">
        <v>11</v>
      </c>
      <c r="C51" s="26" t="s">
        <v>586</v>
      </c>
      <c r="D51" s="26" t="str">
        <f>IFERROR(VLOOKUP(C51,'07数值索引'!$A$5:$S$80,19,FALSE),"未找到事件")</f>
        <v>魏先进入县城，所有路线固定增加一次追捕压力</v>
      </c>
      <c r="E51" s="25">
        <f>SUMIFS($O$5:O50,$A$5:$A50,A51)</f>
        <v>-7</v>
      </c>
      <c r="F51" s="25">
        <f>SUMIFS($P$5:P50,$A$5:$A50,A51)</f>
        <v>1</v>
      </c>
      <c r="G51" s="25">
        <f>SUMIFS($Q$5:Q50,$A$5:$A50,A51)</f>
        <v>-5</v>
      </c>
      <c r="H51" s="25">
        <f>SUMIFS($R$5:R50,$A$5:$A50,A51)</f>
        <v>1</v>
      </c>
      <c r="I51" s="25">
        <f>SUMIFS($S$5:S50,$A$5:$A50,A51)</f>
        <v>1</v>
      </c>
      <c r="J51" s="25">
        <f>SUMIFS($T$5:T50,$A$5:$A50,A51)</f>
        <v>0</v>
      </c>
      <c r="K51" s="25">
        <f>SUMIFS($U$5:U50,$A$5:$A50,A51)</f>
        <v>2</v>
      </c>
      <c r="L51" s="25">
        <f>SUMIFS($V$5:V50,$A$5:$A50,A51)</f>
        <v>1</v>
      </c>
      <c r="M51" s="27" t="s">
        <v>723</v>
      </c>
      <c r="N51" s="26" t="str">
        <f>IF(COUNTIF('07数值索引'!$A$5:$A$80,C51)=1,"PASS","CHECK")</f>
        <v>PASS</v>
      </c>
      <c r="O51" s="26">
        <f>SUMIF('07数值索引'!$A$5:$A$80,C51,'07数值索引'!$D$5:$D$80)</f>
        <v>0</v>
      </c>
      <c r="P51" s="26">
        <f>SUMIF('07数值索引'!$A$5:$A$80,C51,'07数值索引'!$E$5:$E$80)</f>
        <v>0</v>
      </c>
      <c r="Q51" s="26">
        <f>SUMIF('07数值索引'!$A$5:$A$80,C51,'07数值索引'!$F$5:$F$80)</f>
        <v>0</v>
      </c>
      <c r="R51" s="26">
        <f>SUMIF('07数值索引'!$A$5:$A$80,C51,'07数值索引'!$G$5:$G$80)</f>
        <v>1</v>
      </c>
      <c r="S51" s="26">
        <f>SUMIF('07数值索引'!$A$5:$A$80,C51,'07数值索引'!$M$5:$M$80)</f>
        <v>0</v>
      </c>
      <c r="T51" s="26">
        <f>SUMIF('07数值索引'!$A$5:$A$80,C51,'07数值索引'!$H$5:$H$80)</f>
        <v>0</v>
      </c>
      <c r="U51" s="26">
        <f>SUMIF('07数值索引'!$A$5:$A$80,C51,'07数值索引'!$I$5:$I$80)</f>
        <v>0</v>
      </c>
      <c r="V51" s="26">
        <f>SUMIF('07数值索引'!$A$5:$A$80,C51,'07数值索引'!$J$5:$J$80)</f>
        <v>0</v>
      </c>
    </row>
    <row r="52" ht="14.5" spans="1:22">
      <c r="A52" s="24" t="s">
        <v>675</v>
      </c>
      <c r="B52" s="25">
        <v>12</v>
      </c>
      <c r="C52" s="26" t="s">
        <v>222</v>
      </c>
      <c r="D52" s="26" t="str">
        <f>IFERROR(VLOOKUP(C52,'07数值索引'!$A$5:$S$80,19,FALSE),"未找到事件")</f>
        <v>藏证携银独自逃亡，但没有再次利用阿禾</v>
      </c>
      <c r="E52" s="25">
        <f>SUMIFS($O$5:O51,$A$5:$A51,A52)</f>
        <v>-7</v>
      </c>
      <c r="F52" s="25">
        <f>SUMIFS($P$5:P51,$A$5:$A51,A52)</f>
        <v>1</v>
      </c>
      <c r="G52" s="25">
        <f>SUMIFS($Q$5:Q51,$A$5:$A51,A52)</f>
        <v>-5</v>
      </c>
      <c r="H52" s="25">
        <f>SUMIFS($R$5:R51,$A$5:$A51,A52)</f>
        <v>2</v>
      </c>
      <c r="I52" s="25">
        <f>SUMIFS($S$5:S51,$A$5:$A51,A52)</f>
        <v>1</v>
      </c>
      <c r="J52" s="25">
        <f>SUMIFS($T$5:T51,$A$5:$A51,A52)</f>
        <v>0</v>
      </c>
      <c r="K52" s="25">
        <f>SUMIFS($U$5:U51,$A$5:$A51,A52)</f>
        <v>2</v>
      </c>
      <c r="L52" s="25">
        <f>SUMIFS($V$5:V51,$A$5:$A51,A52)</f>
        <v>1</v>
      </c>
      <c r="M52" s="27" t="s">
        <v>723</v>
      </c>
      <c r="N52" s="26" t="str">
        <f>IF(COUNTIF('07数值索引'!$A$5:$A$80,C52)=1,"PASS","CHECK")</f>
        <v>PASS</v>
      </c>
      <c r="O52" s="26">
        <f>SUMIF('07数值索引'!$A$5:$A$80,C52,'07数值索引'!$D$5:$D$80)</f>
        <v>-2</v>
      </c>
      <c r="P52" s="26">
        <f>SUMIF('07数值索引'!$A$5:$A$80,C52,'07数值索引'!$E$5:$E$80)</f>
        <v>0</v>
      </c>
      <c r="Q52" s="26">
        <f>SUMIF('07数值索引'!$A$5:$A$80,C52,'07数值索引'!$F$5:$F$80)</f>
        <v>-2</v>
      </c>
      <c r="R52" s="26">
        <f>SUMIF('07数值索引'!$A$5:$A$80,C52,'07数值索引'!$G$5:$G$80)</f>
        <v>1</v>
      </c>
      <c r="S52" s="26">
        <f>SUMIF('07数值索引'!$A$5:$A$80,C52,'07数值索引'!$M$5:$M$80)</f>
        <v>0</v>
      </c>
      <c r="T52" s="26">
        <f>SUMIF('07数值索引'!$A$5:$A$80,C52,'07数值索引'!$H$5:$H$80)</f>
        <v>0</v>
      </c>
      <c r="U52" s="26">
        <f>SUMIF('07数值索引'!$A$5:$A$80,C52,'07数值索引'!$I$5:$I$80)</f>
        <v>0</v>
      </c>
      <c r="V52" s="26">
        <f>SUMIF('07数值索引'!$A$5:$A$80,C52,'07数值索引'!$J$5:$J$80)</f>
        <v>0</v>
      </c>
    </row>
    <row r="53" ht="14.5" spans="1:22">
      <c r="A53" s="24" t="s">
        <v>678</v>
      </c>
      <c r="B53" s="25">
        <v>1</v>
      </c>
      <c r="C53" s="26" t="s">
        <v>582</v>
      </c>
      <c r="D53" s="26" t="str">
        <f>IFERROR(VLOOKUP(C53,'07数值索引'!$A$5:$S$80,19,FALSE),"未找到事件")</f>
        <v>阿禾因救人而保留最低限度善意；追兵已在沿河搜索</v>
      </c>
      <c r="E53" s="25">
        <f t="shared" ref="E53:L53" si="5">0</f>
        <v>0</v>
      </c>
      <c r="F53" s="25">
        <f t="shared" si="5"/>
        <v>0</v>
      </c>
      <c r="G53" s="25">
        <f t="shared" si="5"/>
        <v>0</v>
      </c>
      <c r="H53" s="25">
        <f t="shared" si="5"/>
        <v>0</v>
      </c>
      <c r="I53" s="25">
        <f t="shared" si="5"/>
        <v>0</v>
      </c>
      <c r="J53" s="25">
        <f t="shared" si="5"/>
        <v>0</v>
      </c>
      <c r="K53" s="25">
        <f t="shared" si="5"/>
        <v>0</v>
      </c>
      <c r="L53" s="25">
        <f t="shared" si="5"/>
        <v>0</v>
      </c>
      <c r="M53" s="27" t="s">
        <v>723</v>
      </c>
      <c r="N53" s="26" t="str">
        <f>IF(COUNTIF('07数值索引'!$A$5:$A$80,C53)=1,"PASS","CHECK")</f>
        <v>PASS</v>
      </c>
      <c r="O53" s="26">
        <f>SUMIF('07数值索引'!$A$5:$A$80,C53,'07数值索引'!$D$5:$D$80)</f>
        <v>0</v>
      </c>
      <c r="P53" s="26">
        <f>SUMIF('07数值索引'!$A$5:$A$80,C53,'07数值索引'!$E$5:$E$80)</f>
        <v>0</v>
      </c>
      <c r="Q53" s="26">
        <f>SUMIF('07数值索引'!$A$5:$A$80,C53,'07数值索引'!$F$5:$F$80)</f>
        <v>1</v>
      </c>
      <c r="R53" s="26">
        <f>SUMIF('07数值索引'!$A$5:$A$80,C53,'07数值索引'!$G$5:$G$80)</f>
        <v>1</v>
      </c>
      <c r="S53" s="26">
        <f>SUMIF('07数值索引'!$A$5:$A$80,C53,'07数值索引'!$M$5:$M$80)</f>
        <v>0</v>
      </c>
      <c r="T53" s="26">
        <f>SUMIF('07数值索引'!$A$5:$A$80,C53,'07数值索引'!$H$5:$H$80)</f>
        <v>0</v>
      </c>
      <c r="U53" s="26">
        <f>SUMIF('07数值索引'!$A$5:$A$80,C53,'07数值索引'!$I$5:$I$80)</f>
        <v>0</v>
      </c>
      <c r="V53" s="26">
        <f>SUMIF('07数值索引'!$A$5:$A$80,C53,'07数值索引'!$J$5:$J$80)</f>
        <v>0</v>
      </c>
    </row>
    <row r="54" ht="14.5" spans="1:22">
      <c r="A54" s="24" t="s">
        <v>678</v>
      </c>
      <c r="B54" s="25">
        <v>2</v>
      </c>
      <c r="C54" s="26" t="s">
        <v>150</v>
      </c>
      <c r="D54" s="26" t="str">
        <f>IFERROR(VLOOKUP(C54,'07数值索引'!$A$5:$S$80,19,FALSE),"未找到事件")</f>
        <v>否认追兵存在；阿禾暗中观察</v>
      </c>
      <c r="E54" s="25">
        <f>SUMIFS($O$5:O53,$A$5:$A53,A54)</f>
        <v>0</v>
      </c>
      <c r="F54" s="25">
        <f>SUMIFS($P$5:P53,$A$5:$A53,A54)</f>
        <v>0</v>
      </c>
      <c r="G54" s="25">
        <f>SUMIFS($Q$5:Q53,$A$5:$A53,A54)</f>
        <v>1</v>
      </c>
      <c r="H54" s="25">
        <f>SUMIFS($R$5:R53,$A$5:$A53,A54)</f>
        <v>1</v>
      </c>
      <c r="I54" s="25">
        <f>SUMIFS($S$5:S53,$A$5:$A53,A54)</f>
        <v>0</v>
      </c>
      <c r="J54" s="25">
        <f>SUMIFS($T$5:T53,$A$5:$A53,A54)</f>
        <v>0</v>
      </c>
      <c r="K54" s="25">
        <f>SUMIFS($U$5:U53,$A$5:$A53,A54)</f>
        <v>0</v>
      </c>
      <c r="L54" s="25">
        <f>SUMIFS($V$5:V53,$A$5:$A53,A54)</f>
        <v>0</v>
      </c>
      <c r="M54" s="27" t="s">
        <v>723</v>
      </c>
      <c r="N54" s="26" t="str">
        <f>IF(COUNTIF('07数值索引'!$A$5:$A$80,C54)=1,"PASS","CHECK")</f>
        <v>PASS</v>
      </c>
      <c r="O54" s="26">
        <f>SUMIF('07数值索引'!$A$5:$A$80,C54,'07数值索引'!$D$5:$D$80)</f>
        <v>0</v>
      </c>
      <c r="P54" s="26">
        <f>SUMIF('07数值索引'!$A$5:$A$80,C54,'07数值索引'!$E$5:$E$80)</f>
        <v>0</v>
      </c>
      <c r="Q54" s="26">
        <f>SUMIF('07数值索引'!$A$5:$A$80,C54,'07数值索引'!$F$5:$F$80)</f>
        <v>-1</v>
      </c>
      <c r="R54" s="26">
        <f>SUMIF('07数值索引'!$A$5:$A$80,C54,'07数值索引'!$G$5:$G$80)</f>
        <v>0</v>
      </c>
      <c r="S54" s="26">
        <f>SUMIF('07数值索引'!$A$5:$A$80,C54,'07数值索引'!$M$5:$M$80)</f>
        <v>0</v>
      </c>
      <c r="T54" s="26">
        <f>SUMIF('07数值索引'!$A$5:$A$80,C54,'07数值索引'!$H$5:$H$80)</f>
        <v>0</v>
      </c>
      <c r="U54" s="26">
        <f>SUMIF('07数值索引'!$A$5:$A$80,C54,'07数值索引'!$I$5:$I$80)</f>
        <v>0</v>
      </c>
      <c r="V54" s="26">
        <f>SUMIF('07数值索引'!$A$5:$A$80,C54,'07数值索引'!$J$5:$J$80)</f>
        <v>0</v>
      </c>
    </row>
    <row r="55" ht="14.5" spans="1:22">
      <c r="A55" s="24" t="s">
        <v>678</v>
      </c>
      <c r="B55" s="25">
        <v>3</v>
      </c>
      <c r="C55" s="26" t="s">
        <v>169</v>
      </c>
      <c r="D55" s="26" t="str">
        <f>IFERROR(VLOOKUP(C55,'07数值索引'!$A$5:$S$80,19,FALSE),"未找到事件")</f>
        <v>默认跪拜换取帮助；消息开始外泄</v>
      </c>
      <c r="E55" s="25">
        <f>SUMIFS($O$5:O54,$A$5:$A54,A55)</f>
        <v>0</v>
      </c>
      <c r="F55" s="25">
        <f>SUMIFS($P$5:P54,$A$5:$A54,A55)</f>
        <v>0</v>
      </c>
      <c r="G55" s="25">
        <f>SUMIFS($Q$5:Q54,$A$5:$A54,A55)</f>
        <v>0</v>
      </c>
      <c r="H55" s="25">
        <f>SUMIFS($R$5:R54,$A$5:$A54,A55)</f>
        <v>1</v>
      </c>
      <c r="I55" s="25">
        <f>SUMIFS($S$5:S54,$A$5:$A54,A55)</f>
        <v>0</v>
      </c>
      <c r="J55" s="25">
        <f>SUMIFS($T$5:T54,$A$5:$A54,A55)</f>
        <v>0</v>
      </c>
      <c r="K55" s="25">
        <f>SUMIFS($U$5:U54,$A$5:$A54,A55)</f>
        <v>0</v>
      </c>
      <c r="L55" s="25">
        <f>SUMIFS($V$5:V54,$A$5:$A54,A55)</f>
        <v>0</v>
      </c>
      <c r="M55" s="27" t="s">
        <v>723</v>
      </c>
      <c r="N55" s="26" t="str">
        <f>IF(COUNTIF('07数值索引'!$A$5:$A$80,C55)=1,"PASS","CHECK")</f>
        <v>PASS</v>
      </c>
      <c r="O55" s="26">
        <f>SUMIF('07数值索引'!$A$5:$A$80,C55,'07数值索引'!$D$5:$D$80)</f>
        <v>0</v>
      </c>
      <c r="P55" s="26">
        <f>SUMIF('07数值索引'!$A$5:$A$80,C55,'07数值索引'!$E$5:$E$80)</f>
        <v>1</v>
      </c>
      <c r="Q55" s="26">
        <f>SUMIF('07数值索引'!$A$5:$A$80,C55,'07数值索引'!$F$5:$F$80)</f>
        <v>-1</v>
      </c>
      <c r="R55" s="26">
        <f>SUMIF('07数值索引'!$A$5:$A$80,C55,'07数值索引'!$G$5:$G$80)</f>
        <v>1</v>
      </c>
      <c r="S55" s="26">
        <f>SUMIF('07数值索引'!$A$5:$A$80,C55,'07数值索引'!$M$5:$M$80)</f>
        <v>0</v>
      </c>
      <c r="T55" s="26">
        <f>SUMIF('07数值索引'!$A$5:$A$80,C55,'07数值索引'!$H$5:$H$80)</f>
        <v>0</v>
      </c>
      <c r="U55" s="26">
        <f>SUMIF('07数值索引'!$A$5:$A$80,C55,'07数值索引'!$I$5:$I$80)</f>
        <v>0</v>
      </c>
      <c r="V55" s="26">
        <f>SUMIF('07数值索引'!$A$5:$A$80,C55,'07数值索引'!$J$5:$J$80)</f>
        <v>0</v>
      </c>
    </row>
    <row r="56" ht="29" spans="1:22">
      <c r="A56" s="24" t="s">
        <v>678</v>
      </c>
      <c r="B56" s="25">
        <v>4</v>
      </c>
      <c r="C56" s="26" t="s">
        <v>276</v>
      </c>
      <c r="D56" s="26" t="str">
        <f>IFERROR(VLOOKUP(C56,'07数值索引'!$A$5:$S$80,19,FALSE),"未找到事件")</f>
        <v>阿芸将准确情报包装成神谕，逼粮商开仓；救人最多、暴露也最大</v>
      </c>
      <c r="E56" s="25">
        <f>SUMIFS($O$5:O55,$A$5:$A55,A56)</f>
        <v>0</v>
      </c>
      <c r="F56" s="25">
        <f>SUMIFS($P$5:P55,$A$5:$A55,A56)</f>
        <v>1</v>
      </c>
      <c r="G56" s="25">
        <f>SUMIFS($Q$5:Q55,$A$5:$A55,A56)</f>
        <v>-1</v>
      </c>
      <c r="H56" s="25">
        <f>SUMIFS($R$5:R55,$A$5:$A55,A56)</f>
        <v>2</v>
      </c>
      <c r="I56" s="25">
        <f>SUMIFS($S$5:S55,$A$5:$A55,A56)</f>
        <v>0</v>
      </c>
      <c r="J56" s="25">
        <f>SUMIFS($T$5:T55,$A$5:$A55,A56)</f>
        <v>0</v>
      </c>
      <c r="K56" s="25">
        <f>SUMIFS($U$5:U55,$A$5:$A55,A56)</f>
        <v>0</v>
      </c>
      <c r="L56" s="25">
        <f>SUMIFS($V$5:V55,$A$5:$A55,A56)</f>
        <v>0</v>
      </c>
      <c r="M56" s="27" t="s">
        <v>723</v>
      </c>
      <c r="N56" s="26" t="str">
        <f>IF(COUNTIF('07数值索引'!$A$5:$A$80,C56)=1,"PASS","CHECK")</f>
        <v>PASS</v>
      </c>
      <c r="O56" s="26">
        <f>SUMIF('07数值索引'!$A$5:$A$80,C56,'07数值索引'!$D$5:$D$80)</f>
        <v>0</v>
      </c>
      <c r="P56" s="26">
        <f>SUMIF('07数值索引'!$A$5:$A$80,C56,'07数值索引'!$E$5:$E$80)</f>
        <v>2</v>
      </c>
      <c r="Q56" s="26">
        <f>SUMIF('07数值索引'!$A$5:$A$80,C56,'07数值索引'!$F$5:$F$80)</f>
        <v>-1</v>
      </c>
      <c r="R56" s="26">
        <f>SUMIF('07数值索引'!$A$5:$A$80,C56,'07数值索引'!$G$5:$G$80)</f>
        <v>2</v>
      </c>
      <c r="S56" s="26">
        <f>SUMIF('07数值索引'!$A$5:$A$80,C56,'07数值索引'!$M$5:$M$80)</f>
        <v>1</v>
      </c>
      <c r="T56" s="26">
        <f>SUMIF('07数值索引'!$A$5:$A$80,C56,'07数值索引'!$H$5:$H$80)</f>
        <v>0</v>
      </c>
      <c r="U56" s="26">
        <f>SUMIF('07数值索引'!$A$5:$A$80,C56,'07数值索引'!$I$5:$I$80)</f>
        <v>0</v>
      </c>
      <c r="V56" s="26">
        <f>SUMIF('07数值索引'!$A$5:$A$80,C56,'07数值索引'!$J$5:$J$80)</f>
        <v>0</v>
      </c>
    </row>
    <row r="57" ht="14.5" spans="1:22">
      <c r="A57" s="24" t="s">
        <v>678</v>
      </c>
      <c r="B57" s="25">
        <v>5</v>
      </c>
      <c r="C57" s="26" t="s">
        <v>173</v>
      </c>
      <c r="D57" s="26" t="str">
        <f>IFERROR(VLOOKUP(C57,'07数值索引'!$A$5:$S$80,19,FALSE),"未找到事件")</f>
        <v>谎称是废名单</v>
      </c>
      <c r="E57" s="25">
        <f>SUMIFS($O$5:O56,$A$5:$A56,A57)</f>
        <v>0</v>
      </c>
      <c r="F57" s="25">
        <f>SUMIFS($P$5:P56,$A$5:$A56,A57)</f>
        <v>3</v>
      </c>
      <c r="G57" s="25">
        <f>SUMIFS($Q$5:Q56,$A$5:$A56,A57)</f>
        <v>-2</v>
      </c>
      <c r="H57" s="25">
        <f>SUMIFS($R$5:R56,$A$5:$A56,A57)</f>
        <v>4</v>
      </c>
      <c r="I57" s="25">
        <f>SUMIFS($S$5:S56,$A$5:$A56,A57)</f>
        <v>1</v>
      </c>
      <c r="J57" s="25">
        <f>SUMIFS($T$5:T56,$A$5:$A56,A57)</f>
        <v>0</v>
      </c>
      <c r="K57" s="25">
        <f>SUMIFS($U$5:U56,$A$5:$A56,A57)</f>
        <v>0</v>
      </c>
      <c r="L57" s="25">
        <f>SUMIFS($V$5:V56,$A$5:$A56,A57)</f>
        <v>0</v>
      </c>
      <c r="M57" s="27" t="s">
        <v>723</v>
      </c>
      <c r="N57" s="26" t="str">
        <f>IF(COUNTIF('07数值索引'!$A$5:$A$80,C57)=1,"PASS","CHECK")</f>
        <v>PASS</v>
      </c>
      <c r="O57" s="26">
        <f>SUMIF('07数值索引'!$A$5:$A$80,C57,'07数值索引'!$D$5:$D$80)</f>
        <v>-1</v>
      </c>
      <c r="P57" s="26">
        <f>SUMIF('07数值索引'!$A$5:$A$80,C57,'07数值索引'!$E$5:$E$80)</f>
        <v>0</v>
      </c>
      <c r="Q57" s="26">
        <f>SUMIF('07数值索引'!$A$5:$A$80,C57,'07数值索引'!$F$5:$F$80)</f>
        <v>-2</v>
      </c>
      <c r="R57" s="26">
        <f>SUMIF('07数值索引'!$A$5:$A$80,C57,'07数值索引'!$G$5:$G$80)</f>
        <v>0</v>
      </c>
      <c r="S57" s="26">
        <f>SUMIF('07数值索引'!$A$5:$A$80,C57,'07数值索引'!$M$5:$M$80)</f>
        <v>0</v>
      </c>
      <c r="T57" s="26">
        <f>SUMIF('07数值索引'!$A$5:$A$80,C57,'07数值索引'!$H$5:$H$80)</f>
        <v>0</v>
      </c>
      <c r="U57" s="26">
        <f>SUMIF('07数值索引'!$A$5:$A$80,C57,'07数值索引'!$I$5:$I$80)</f>
        <v>0</v>
      </c>
      <c r="V57" s="26">
        <f>SUMIF('07数值索引'!$A$5:$A$80,C57,'07数值索引'!$J$5:$J$80)</f>
        <v>0</v>
      </c>
    </row>
    <row r="58" ht="14.5" spans="1:22">
      <c r="A58" s="24" t="s">
        <v>678</v>
      </c>
      <c r="B58" s="25">
        <v>6</v>
      </c>
      <c r="C58" s="26" t="s">
        <v>201</v>
      </c>
      <c r="D58" s="26" t="str">
        <f>IFERROR(VLOOKUP(C58,'07数值索引'!$A$5:$S$80,19,FALSE),"未找到事件")</f>
        <v>用失忆切割过去与现在</v>
      </c>
      <c r="E58" s="25">
        <f>SUMIFS($O$5:O57,$A$5:$A57,A58)</f>
        <v>-1</v>
      </c>
      <c r="F58" s="25">
        <f>SUMIFS($P$5:P57,$A$5:$A57,A58)</f>
        <v>3</v>
      </c>
      <c r="G58" s="25">
        <f>SUMIFS($Q$5:Q57,$A$5:$A57,A58)</f>
        <v>-4</v>
      </c>
      <c r="H58" s="25">
        <f>SUMIFS($R$5:R57,$A$5:$A57,A58)</f>
        <v>4</v>
      </c>
      <c r="I58" s="25">
        <f>SUMIFS($S$5:S57,$A$5:$A57,A58)</f>
        <v>1</v>
      </c>
      <c r="J58" s="25">
        <f>SUMIFS($T$5:T57,$A$5:$A57,A58)</f>
        <v>0</v>
      </c>
      <c r="K58" s="25">
        <f>SUMIFS($U$5:U57,$A$5:$A57,A58)</f>
        <v>0</v>
      </c>
      <c r="L58" s="25">
        <f>SUMIFS($V$5:V57,$A$5:$A57,A58)</f>
        <v>0</v>
      </c>
      <c r="M58" s="27" t="s">
        <v>723</v>
      </c>
      <c r="N58" s="26" t="str">
        <f>IF(COUNTIF('07数值索引'!$A$5:$A$80,C58)=1,"PASS","CHECK")</f>
        <v>PASS</v>
      </c>
      <c r="O58" s="26">
        <f>SUMIF('07数值索引'!$A$5:$A$80,C58,'07数值索引'!$D$5:$D$80)</f>
        <v>-2</v>
      </c>
      <c r="P58" s="26">
        <f>SUMIF('07数值索引'!$A$5:$A$80,C58,'07数值索引'!$E$5:$E$80)</f>
        <v>0</v>
      </c>
      <c r="Q58" s="26">
        <f>SUMIF('07数值索引'!$A$5:$A$80,C58,'07数值索引'!$F$5:$F$80)</f>
        <v>-2</v>
      </c>
      <c r="R58" s="26">
        <f>SUMIF('07数值索引'!$A$5:$A$80,C58,'07数值索引'!$G$5:$G$80)</f>
        <v>0</v>
      </c>
      <c r="S58" s="26">
        <f>SUMIF('07数值索引'!$A$5:$A$80,C58,'07数值索引'!$M$5:$M$80)</f>
        <v>0</v>
      </c>
      <c r="T58" s="26">
        <f>SUMIF('07数值索引'!$A$5:$A$80,C58,'07数值索引'!$H$5:$H$80)</f>
        <v>0</v>
      </c>
      <c r="U58" s="26">
        <f>SUMIF('07数值索引'!$A$5:$A$80,C58,'07数值索引'!$I$5:$I$80)</f>
        <v>0</v>
      </c>
      <c r="V58" s="26">
        <f>SUMIF('07数值索引'!$A$5:$A$80,C58,'07数值索引'!$J$5:$J$80)</f>
        <v>0</v>
      </c>
    </row>
    <row r="59" ht="14.5" spans="1:22">
      <c r="A59" s="24" t="s">
        <v>678</v>
      </c>
      <c r="B59" s="25">
        <v>7</v>
      </c>
      <c r="C59" s="26" t="s">
        <v>454</v>
      </c>
      <c r="D59" s="26" t="str">
        <f>IFERROR(VLOOKUP(C59,'07数值索引'!$A$5:$S$80,19,FALSE),"未找到事件")</f>
        <v>保留勒索、自保和销毁的可能</v>
      </c>
      <c r="E59" s="25">
        <f>SUMIFS($O$5:O58,$A$5:$A58,A59)</f>
        <v>-3</v>
      </c>
      <c r="F59" s="25">
        <f>SUMIFS($P$5:P58,$A$5:$A58,A59)</f>
        <v>3</v>
      </c>
      <c r="G59" s="25">
        <f>SUMIFS($Q$5:Q58,$A$5:$A58,A59)</f>
        <v>-6</v>
      </c>
      <c r="H59" s="25">
        <f>SUMIFS($R$5:R58,$A$5:$A58,A59)</f>
        <v>4</v>
      </c>
      <c r="I59" s="25">
        <f>SUMIFS($S$5:S58,$A$5:$A58,A59)</f>
        <v>1</v>
      </c>
      <c r="J59" s="25">
        <f>SUMIFS($T$5:T58,$A$5:$A58,A59)</f>
        <v>0</v>
      </c>
      <c r="K59" s="25">
        <f>SUMIFS($U$5:U58,$A$5:$A58,A59)</f>
        <v>0</v>
      </c>
      <c r="L59" s="25">
        <f>SUMIFS($V$5:V58,$A$5:$A58,A59)</f>
        <v>0</v>
      </c>
      <c r="M59" s="27" t="s">
        <v>723</v>
      </c>
      <c r="N59" s="26" t="str">
        <f>IF(COUNTIF('07数值索引'!$A$5:$A$80,C59)=1,"PASS","CHECK")</f>
        <v>PASS</v>
      </c>
      <c r="O59" s="26">
        <f>SUMIF('07数值索引'!$A$5:$A$80,C59,'07数值索引'!$D$5:$D$80)</f>
        <v>-2</v>
      </c>
      <c r="P59" s="26">
        <f>SUMIF('07数值索引'!$A$5:$A$80,C59,'07数值索引'!$E$5:$E$80)</f>
        <v>0</v>
      </c>
      <c r="Q59" s="26">
        <f>SUMIF('07数值索引'!$A$5:$A$80,C59,'07数值索引'!$F$5:$F$80)</f>
        <v>0</v>
      </c>
      <c r="R59" s="26">
        <f>SUMIF('07数值索引'!$A$5:$A$80,C59,'07数值索引'!$G$5:$G$80)</f>
        <v>0</v>
      </c>
      <c r="S59" s="26">
        <f>SUMIF('07数值索引'!$A$5:$A$80,C59,'07数值索引'!$M$5:$M$80)</f>
        <v>0</v>
      </c>
      <c r="T59" s="26">
        <f>SUMIF('07数值索引'!$A$5:$A$80,C59,'07数值索引'!$H$5:$H$80)</f>
        <v>0</v>
      </c>
      <c r="U59" s="26">
        <f>SUMIF('07数值索引'!$A$5:$A$80,C59,'07数值索引'!$I$5:$I$80)</f>
        <v>1</v>
      </c>
      <c r="V59" s="26">
        <f>SUMIF('07数值索引'!$A$5:$A$80,C59,'07数值索引'!$J$5:$J$80)</f>
        <v>0</v>
      </c>
    </row>
    <row r="60" ht="14.5" spans="1:22">
      <c r="A60" s="24" t="s">
        <v>678</v>
      </c>
      <c r="B60" s="25">
        <v>8</v>
      </c>
      <c r="C60" s="26" t="s">
        <v>467</v>
      </c>
      <c r="D60" s="26" t="str">
        <f>IFERROR(VLOOKUP(C60,'07数值索引'!$A$5:$S$80,19,FALSE),"未找到事件")</f>
        <v>保留自保筹码，不让真相抵达他人</v>
      </c>
      <c r="E60" s="25">
        <f>SUMIFS($O$5:O59,$A$5:$A59,A60)</f>
        <v>-5</v>
      </c>
      <c r="F60" s="25">
        <f>SUMIFS($P$5:P59,$A$5:$A59,A60)</f>
        <v>3</v>
      </c>
      <c r="G60" s="25">
        <f>SUMIFS($Q$5:Q59,$A$5:$A59,A60)</f>
        <v>-6</v>
      </c>
      <c r="H60" s="25">
        <f>SUMIFS($R$5:R59,$A$5:$A59,A60)</f>
        <v>4</v>
      </c>
      <c r="I60" s="25">
        <f>SUMIFS($S$5:S59,$A$5:$A59,A60)</f>
        <v>1</v>
      </c>
      <c r="J60" s="25">
        <f>SUMIFS($T$5:T59,$A$5:$A59,A60)</f>
        <v>0</v>
      </c>
      <c r="K60" s="25">
        <f>SUMIFS($U$5:U59,$A$5:$A59,A60)</f>
        <v>1</v>
      </c>
      <c r="L60" s="25">
        <f>SUMIFS($V$5:V59,$A$5:$A59,A60)</f>
        <v>0</v>
      </c>
      <c r="M60" s="27" t="s">
        <v>723</v>
      </c>
      <c r="N60" s="26" t="str">
        <f>IF(COUNTIF('07数值索引'!$A$5:$A$80,C60)=1,"PASS","CHECK")</f>
        <v>PASS</v>
      </c>
      <c r="O60" s="26">
        <f>SUMIF('07数值索引'!$A$5:$A$80,C60,'07数值索引'!$D$5:$D$80)</f>
        <v>-1</v>
      </c>
      <c r="P60" s="26">
        <f>SUMIF('07数值索引'!$A$5:$A$80,C60,'07数值索引'!$E$5:$E$80)</f>
        <v>0</v>
      </c>
      <c r="Q60" s="26">
        <f>SUMIF('07数值索引'!$A$5:$A$80,C60,'07数值索引'!$F$5:$F$80)</f>
        <v>0</v>
      </c>
      <c r="R60" s="26">
        <f>SUMIF('07数值索引'!$A$5:$A$80,C60,'07数值索引'!$G$5:$G$80)</f>
        <v>0</v>
      </c>
      <c r="S60" s="26">
        <f>SUMIF('07数值索引'!$A$5:$A$80,C60,'07数值索引'!$M$5:$M$80)</f>
        <v>0</v>
      </c>
      <c r="T60" s="26">
        <f>SUMIF('07数值索引'!$A$5:$A$80,C60,'07数值索引'!$H$5:$H$80)</f>
        <v>0</v>
      </c>
      <c r="U60" s="26">
        <f>SUMIF('07数值索引'!$A$5:$A$80,C60,'07数值索引'!$I$5:$I$80)</f>
        <v>1</v>
      </c>
      <c r="V60" s="26">
        <f>SUMIF('07数值索引'!$A$5:$A$80,C60,'07数值索引'!$J$5:$J$80)</f>
        <v>0</v>
      </c>
    </row>
    <row r="61" ht="14.5" spans="1:22">
      <c r="A61" s="24" t="s">
        <v>678</v>
      </c>
      <c r="B61" s="25">
        <v>9</v>
      </c>
      <c r="C61" s="26" t="s">
        <v>476</v>
      </c>
      <c r="D61" s="26" t="str">
        <f>IFERROR(VLOOKUP(C61,'07数值索引'!$A$5:$S$80,19,FALSE),"未找到事件")</f>
        <v>将赃款再次变成逃亡资本</v>
      </c>
      <c r="E61" s="25">
        <f>SUMIFS($O$5:O60,$A$5:$A60,A61)</f>
        <v>-6</v>
      </c>
      <c r="F61" s="25">
        <f>SUMIFS($P$5:P60,$A$5:$A60,A61)</f>
        <v>3</v>
      </c>
      <c r="G61" s="25">
        <f>SUMIFS($Q$5:Q60,$A$5:$A60,A61)</f>
        <v>-6</v>
      </c>
      <c r="H61" s="25">
        <f>SUMIFS($R$5:R60,$A$5:$A60,A61)</f>
        <v>4</v>
      </c>
      <c r="I61" s="25">
        <f>SUMIFS($S$5:S60,$A$5:$A60,A61)</f>
        <v>1</v>
      </c>
      <c r="J61" s="25">
        <f>SUMIFS($T$5:T60,$A$5:$A60,A61)</f>
        <v>0</v>
      </c>
      <c r="K61" s="25">
        <f>SUMIFS($U$5:U60,$A$5:$A60,A61)</f>
        <v>2</v>
      </c>
      <c r="L61" s="25">
        <f>SUMIFS($V$5:V60,$A$5:$A60,A61)</f>
        <v>0</v>
      </c>
      <c r="M61" s="27" t="s">
        <v>723</v>
      </c>
      <c r="N61" s="26" t="str">
        <f>IF(COUNTIF('07数值索引'!$A$5:$A$80,C61)=1,"PASS","CHECK")</f>
        <v>PASS</v>
      </c>
      <c r="O61" s="26">
        <f>SUMIF('07数值索引'!$A$5:$A$80,C61,'07数值索引'!$D$5:$D$80)</f>
        <v>-2</v>
      </c>
      <c r="P61" s="26">
        <f>SUMIF('07数值索引'!$A$5:$A$80,C61,'07数值索引'!$E$5:$E$80)</f>
        <v>0</v>
      </c>
      <c r="Q61" s="26">
        <f>SUMIF('07数值索引'!$A$5:$A$80,C61,'07数值索引'!$F$5:$F$80)</f>
        <v>-2</v>
      </c>
      <c r="R61" s="26">
        <f>SUMIF('07数值索引'!$A$5:$A$80,C61,'07数值索引'!$G$5:$G$80)</f>
        <v>0</v>
      </c>
      <c r="S61" s="26">
        <f>SUMIF('07数值索引'!$A$5:$A$80,C61,'07数值索引'!$M$5:$M$80)</f>
        <v>0</v>
      </c>
      <c r="T61" s="26">
        <f>SUMIF('07数值索引'!$A$5:$A$80,C61,'07数值索引'!$H$5:$H$80)</f>
        <v>0</v>
      </c>
      <c r="U61" s="26">
        <f>SUMIF('07数值索引'!$A$5:$A$80,C61,'07数值索引'!$I$5:$I$80)</f>
        <v>0</v>
      </c>
      <c r="V61" s="26">
        <f>SUMIF('07数值索引'!$A$5:$A$80,C61,'07数值索引'!$J$5:$J$80)</f>
        <v>1</v>
      </c>
    </row>
    <row r="62" ht="14.5" spans="1:22">
      <c r="A62" s="24" t="s">
        <v>678</v>
      </c>
      <c r="B62" s="25">
        <v>10</v>
      </c>
      <c r="C62" s="26" t="s">
        <v>487</v>
      </c>
      <c r="D62" s="26" t="str">
        <f>IFERROR(VLOOKUP(C62,'07数值索引'!$A$5:$S$80,19,FALSE),"未找到事件")</f>
        <v>没有立刻使用，却保留随时返回的可能</v>
      </c>
      <c r="E62" s="25">
        <f>SUMIFS($O$5:O61,$A$5:$A61,A62)</f>
        <v>-8</v>
      </c>
      <c r="F62" s="25">
        <f>SUMIFS($P$5:P61,$A$5:$A61,A62)</f>
        <v>3</v>
      </c>
      <c r="G62" s="25">
        <f>SUMIFS($Q$5:Q61,$A$5:$A61,A62)</f>
        <v>-8</v>
      </c>
      <c r="H62" s="25">
        <f>SUMIFS($R$5:R61,$A$5:$A61,A62)</f>
        <v>4</v>
      </c>
      <c r="I62" s="25">
        <f>SUMIFS($S$5:S61,$A$5:$A61,A62)</f>
        <v>1</v>
      </c>
      <c r="J62" s="25">
        <f>SUMIFS($T$5:T61,$A$5:$A61,A62)</f>
        <v>0</v>
      </c>
      <c r="K62" s="25">
        <f>SUMIFS($U$5:U61,$A$5:$A61,A62)</f>
        <v>2</v>
      </c>
      <c r="L62" s="25">
        <f>SUMIFS($V$5:V61,$A$5:$A61,A62)</f>
        <v>1</v>
      </c>
      <c r="M62" s="27" t="s">
        <v>723</v>
      </c>
      <c r="N62" s="26" t="str">
        <f>IF(COUNTIF('07数值索引'!$A$5:$A$80,C62)=1,"PASS","CHECK")</f>
        <v>PASS</v>
      </c>
      <c r="O62" s="26">
        <f>SUMIF('07数值索引'!$A$5:$A$80,C62,'07数值索引'!$D$5:$D$80)</f>
        <v>-1</v>
      </c>
      <c r="P62" s="26">
        <f>SUMIF('07数值索引'!$A$5:$A$80,C62,'07数值索引'!$E$5:$E$80)</f>
        <v>1</v>
      </c>
      <c r="Q62" s="26">
        <f>SUMIF('07数值索引'!$A$5:$A$80,C62,'07数值索引'!$F$5:$F$80)</f>
        <v>0</v>
      </c>
      <c r="R62" s="26">
        <f>SUMIF('07数值索引'!$A$5:$A$80,C62,'07数值索引'!$G$5:$G$80)</f>
        <v>0</v>
      </c>
      <c r="S62" s="26">
        <f>SUMIF('07数值索引'!$A$5:$A$80,C62,'07数值索引'!$M$5:$M$80)</f>
        <v>0</v>
      </c>
      <c r="T62" s="26">
        <f>SUMIF('07数值索引'!$A$5:$A$80,C62,'07数值索引'!$H$5:$H$80)</f>
        <v>0</v>
      </c>
      <c r="U62" s="26">
        <f>SUMIF('07数值索引'!$A$5:$A$80,C62,'07数值索引'!$I$5:$I$80)</f>
        <v>0</v>
      </c>
      <c r="V62" s="26">
        <f>SUMIF('07数值索引'!$A$5:$A$80,C62,'07数值索引'!$J$5:$J$80)</f>
        <v>0</v>
      </c>
    </row>
    <row r="63" ht="14.5" spans="1:22">
      <c r="A63" s="24" t="s">
        <v>678</v>
      </c>
      <c r="B63" s="25">
        <v>11</v>
      </c>
      <c r="C63" s="26" t="s">
        <v>586</v>
      </c>
      <c r="D63" s="26" t="str">
        <f>IFERROR(VLOOKUP(C63,'07数值索引'!$A$5:$S$80,19,FALSE),"未找到事件")</f>
        <v>魏先进入县城，所有路线固定增加一次追捕压力</v>
      </c>
      <c r="E63" s="25">
        <f>SUMIFS($O$5:O62,$A$5:$A62,A63)</f>
        <v>-9</v>
      </c>
      <c r="F63" s="25">
        <f>SUMIFS($P$5:P62,$A$5:$A62,A63)</f>
        <v>4</v>
      </c>
      <c r="G63" s="25">
        <f>SUMIFS($Q$5:Q62,$A$5:$A62,A63)</f>
        <v>-8</v>
      </c>
      <c r="H63" s="25">
        <f>SUMIFS($R$5:R62,$A$5:$A62,A63)</f>
        <v>4</v>
      </c>
      <c r="I63" s="25">
        <f>SUMIFS($S$5:S62,$A$5:$A62,A63)</f>
        <v>1</v>
      </c>
      <c r="J63" s="25">
        <f>SUMIFS($T$5:T62,$A$5:$A62,A63)</f>
        <v>0</v>
      </c>
      <c r="K63" s="25">
        <f>SUMIFS($U$5:U62,$A$5:$A62,A63)</f>
        <v>2</v>
      </c>
      <c r="L63" s="25">
        <f>SUMIFS($V$5:V62,$A$5:$A62,A63)</f>
        <v>1</v>
      </c>
      <c r="M63" s="27" t="s">
        <v>723</v>
      </c>
      <c r="N63" s="26" t="str">
        <f>IF(COUNTIF('07数值索引'!$A$5:$A$80,C63)=1,"PASS","CHECK")</f>
        <v>PASS</v>
      </c>
      <c r="O63" s="26">
        <f>SUMIF('07数值索引'!$A$5:$A$80,C63,'07数值索引'!$D$5:$D$80)</f>
        <v>0</v>
      </c>
      <c r="P63" s="26">
        <f>SUMIF('07数值索引'!$A$5:$A$80,C63,'07数值索引'!$E$5:$E$80)</f>
        <v>0</v>
      </c>
      <c r="Q63" s="26">
        <f>SUMIF('07数值索引'!$A$5:$A$80,C63,'07数值索引'!$F$5:$F$80)</f>
        <v>0</v>
      </c>
      <c r="R63" s="26">
        <f>SUMIF('07数值索引'!$A$5:$A$80,C63,'07数值索引'!$G$5:$G$80)</f>
        <v>1</v>
      </c>
      <c r="S63" s="26">
        <f>SUMIF('07数值索引'!$A$5:$A$80,C63,'07数值索引'!$M$5:$M$80)</f>
        <v>0</v>
      </c>
      <c r="T63" s="26">
        <f>SUMIF('07数值索引'!$A$5:$A$80,C63,'07数值索引'!$H$5:$H$80)</f>
        <v>0</v>
      </c>
      <c r="U63" s="26">
        <f>SUMIF('07数值索引'!$A$5:$A$80,C63,'07数值索引'!$I$5:$I$80)</f>
        <v>0</v>
      </c>
      <c r="V63" s="26">
        <f>SUMIF('07数值索引'!$A$5:$A$80,C63,'07数值索引'!$J$5:$J$80)</f>
        <v>0</v>
      </c>
    </row>
    <row r="64" ht="29" spans="1:22">
      <c r="A64" s="24" t="s">
        <v>678</v>
      </c>
      <c r="B64" s="25">
        <v>12</v>
      </c>
      <c r="C64" s="26" t="s">
        <v>226</v>
      </c>
      <c r="D64" s="26" t="str">
        <f>IFERROR(VLOOKUP(C64,'07数值索引'!$A$5:$S$80,19,FALSE),"未找到事件")</f>
        <v>谎称证据已送出，让阿禾拿空包引开追兵</v>
      </c>
      <c r="E64" s="25">
        <f>SUMIFS($O$5:O63,$A$5:$A63,A64)</f>
        <v>-9</v>
      </c>
      <c r="F64" s="25">
        <f>SUMIFS($P$5:P63,$A$5:$A63,A64)</f>
        <v>4</v>
      </c>
      <c r="G64" s="25">
        <f>SUMIFS($Q$5:Q63,$A$5:$A63,A64)</f>
        <v>-8</v>
      </c>
      <c r="H64" s="25">
        <f>SUMIFS($R$5:R63,$A$5:$A63,A64)</f>
        <v>5</v>
      </c>
      <c r="I64" s="25">
        <f>SUMIFS($S$5:S63,$A$5:$A63,A64)</f>
        <v>1</v>
      </c>
      <c r="J64" s="25">
        <f>SUMIFS($T$5:T63,$A$5:$A63,A64)</f>
        <v>0</v>
      </c>
      <c r="K64" s="25">
        <f>SUMIFS($U$5:U63,$A$5:$A63,A64)</f>
        <v>2</v>
      </c>
      <c r="L64" s="25">
        <f>SUMIFS($V$5:V63,$A$5:$A63,A64)</f>
        <v>1</v>
      </c>
      <c r="M64" s="27" t="s">
        <v>728</v>
      </c>
      <c r="N64" s="26" t="str">
        <f>IF(AND(COUNTIF('07数值索引'!$A$5:$A$80,C64)=1,E64&lt;=0,G64&lt;=-3,K64&gt;=2,L64&gt;=1,COUNTIFS($A$5:$A63,A64,$C$5:$C63,"K-LDG-AHE")=0),"PASS","CHECK")</f>
        <v>PASS</v>
      </c>
      <c r="O64" s="26">
        <f>SUMIF('07数值索引'!$A$5:$A$80,C64,'07数值索引'!$D$5:$D$80)</f>
        <v>-3</v>
      </c>
      <c r="P64" s="26">
        <f>SUMIF('07数值索引'!$A$5:$A$80,C64,'07数值索引'!$E$5:$E$80)</f>
        <v>0</v>
      </c>
      <c r="Q64" s="26">
        <f>SUMIF('07数值索引'!$A$5:$A$80,C64,'07数值索引'!$F$5:$F$80)</f>
        <v>-3</v>
      </c>
      <c r="R64" s="26">
        <f>SUMIF('07数值索引'!$A$5:$A$80,C64,'07数值索引'!$G$5:$G$80)</f>
        <v>1</v>
      </c>
      <c r="S64" s="26">
        <f>SUMIF('07数值索引'!$A$5:$A$80,C64,'07数值索引'!$M$5:$M$80)</f>
        <v>0</v>
      </c>
      <c r="T64" s="26">
        <f>SUMIF('07数值索引'!$A$5:$A$80,C64,'07数值索引'!$H$5:$H$80)</f>
        <v>0</v>
      </c>
      <c r="U64" s="26">
        <f>SUMIF('07数值索引'!$A$5:$A$80,C64,'07数值索引'!$I$5:$I$80)</f>
        <v>0</v>
      </c>
      <c r="V64" s="26">
        <f>SUMIF('07数值索引'!$A$5:$A$80,C64,'07数值索引'!$J$5:$J$80)</f>
        <v>0</v>
      </c>
    </row>
    <row r="65" ht="14.5" spans="1:22">
      <c r="A65" s="24" t="s">
        <v>681</v>
      </c>
      <c r="B65" s="25">
        <v>1</v>
      </c>
      <c r="C65" s="26" t="s">
        <v>582</v>
      </c>
      <c r="D65" s="26" t="str">
        <f>IFERROR(VLOOKUP(C65,'07数值索引'!$A$5:$S$80,19,FALSE),"未找到事件")</f>
        <v>阿禾因救人而保留最低限度善意；追兵已在沿河搜索</v>
      </c>
      <c r="E65" s="25">
        <f t="shared" ref="E65:L65" si="6">0</f>
        <v>0</v>
      </c>
      <c r="F65" s="25">
        <f t="shared" si="6"/>
        <v>0</v>
      </c>
      <c r="G65" s="25">
        <f t="shared" si="6"/>
        <v>0</v>
      </c>
      <c r="H65" s="25">
        <f t="shared" si="6"/>
        <v>0</v>
      </c>
      <c r="I65" s="25">
        <f t="shared" si="6"/>
        <v>0</v>
      </c>
      <c r="J65" s="25">
        <f t="shared" si="6"/>
        <v>0</v>
      </c>
      <c r="K65" s="25">
        <f t="shared" si="6"/>
        <v>0</v>
      </c>
      <c r="L65" s="25">
        <f t="shared" si="6"/>
        <v>0</v>
      </c>
      <c r="M65" s="27" t="s">
        <v>723</v>
      </c>
      <c r="N65" s="26" t="str">
        <f>IF(COUNTIF('07数值索引'!$A$5:$A$80,C65)=1,"PASS","CHECK")</f>
        <v>PASS</v>
      </c>
      <c r="O65" s="26">
        <f>SUMIF('07数值索引'!$A$5:$A$80,C65,'07数值索引'!$D$5:$D$80)</f>
        <v>0</v>
      </c>
      <c r="P65" s="26">
        <f>SUMIF('07数值索引'!$A$5:$A$80,C65,'07数值索引'!$E$5:$E$80)</f>
        <v>0</v>
      </c>
      <c r="Q65" s="26">
        <f>SUMIF('07数值索引'!$A$5:$A$80,C65,'07数值索引'!$F$5:$F$80)</f>
        <v>1</v>
      </c>
      <c r="R65" s="26">
        <f>SUMIF('07数值索引'!$A$5:$A$80,C65,'07数值索引'!$G$5:$G$80)</f>
        <v>1</v>
      </c>
      <c r="S65" s="26">
        <f>SUMIF('07数值索引'!$A$5:$A$80,C65,'07数值索引'!$M$5:$M$80)</f>
        <v>0</v>
      </c>
      <c r="T65" s="26">
        <f>SUMIF('07数值索引'!$A$5:$A$80,C65,'07数值索引'!$H$5:$H$80)</f>
        <v>0</v>
      </c>
      <c r="U65" s="26">
        <f>SUMIF('07数值索引'!$A$5:$A$80,C65,'07数值索引'!$I$5:$I$80)</f>
        <v>0</v>
      </c>
      <c r="V65" s="26">
        <f>SUMIF('07数值索引'!$A$5:$A$80,C65,'07数值索引'!$J$5:$J$80)</f>
        <v>0</v>
      </c>
    </row>
    <row r="66" ht="14.5" spans="1:22">
      <c r="A66" s="24" t="s">
        <v>681</v>
      </c>
      <c r="B66" s="25">
        <v>2</v>
      </c>
      <c r="C66" s="26" t="s">
        <v>144</v>
      </c>
      <c r="D66" s="26" t="str">
        <f>IFERROR(VLOOKUP(C66,'07数值索引'!$A$5:$S$80,19,FALSE),"未找到事件")</f>
        <v>坦白不知道来历，也不想连累阿禾</v>
      </c>
      <c r="E66" s="25">
        <f>SUMIFS($O$5:O65,$A$5:$A65,A66)</f>
        <v>0</v>
      </c>
      <c r="F66" s="25">
        <f>SUMIFS($P$5:P65,$A$5:$A65,A66)</f>
        <v>0</v>
      </c>
      <c r="G66" s="25">
        <f>SUMIFS($Q$5:Q65,$A$5:$A65,A66)</f>
        <v>1</v>
      </c>
      <c r="H66" s="25">
        <f>SUMIFS($R$5:R65,$A$5:$A65,A66)</f>
        <v>1</v>
      </c>
      <c r="I66" s="25">
        <f>SUMIFS($S$5:S65,$A$5:$A65,A66)</f>
        <v>0</v>
      </c>
      <c r="J66" s="25">
        <f>SUMIFS($T$5:T65,$A$5:$A65,A66)</f>
        <v>0</v>
      </c>
      <c r="K66" s="25">
        <f>SUMIFS($U$5:U65,$A$5:$A65,A66)</f>
        <v>0</v>
      </c>
      <c r="L66" s="25">
        <f>SUMIFS($V$5:V65,$A$5:$A65,A66)</f>
        <v>0</v>
      </c>
      <c r="M66" s="27" t="s">
        <v>723</v>
      </c>
      <c r="N66" s="26" t="str">
        <f>IF(COUNTIF('07数值索引'!$A$5:$A$80,C66)=1,"PASS","CHECK")</f>
        <v>PASS</v>
      </c>
      <c r="O66" s="26">
        <f>SUMIF('07数值索引'!$A$5:$A$80,C66,'07数值索引'!$D$5:$D$80)</f>
        <v>0</v>
      </c>
      <c r="P66" s="26">
        <f>SUMIF('07数值索引'!$A$5:$A$80,C66,'07数值索引'!$E$5:$E$80)</f>
        <v>0</v>
      </c>
      <c r="Q66" s="26">
        <f>SUMIF('07数值索引'!$A$5:$A$80,C66,'07数值索引'!$F$5:$F$80)</f>
        <v>1</v>
      </c>
      <c r="R66" s="26">
        <f>SUMIF('07数值索引'!$A$5:$A$80,C66,'07数值索引'!$G$5:$G$80)</f>
        <v>0</v>
      </c>
      <c r="S66" s="26">
        <f>SUMIF('07数值索引'!$A$5:$A$80,C66,'07数值索引'!$M$5:$M$80)</f>
        <v>0</v>
      </c>
      <c r="T66" s="26">
        <f>SUMIF('07数值索引'!$A$5:$A$80,C66,'07数值索引'!$H$5:$H$80)</f>
        <v>0</v>
      </c>
      <c r="U66" s="26">
        <f>SUMIF('07数值索引'!$A$5:$A$80,C66,'07数值索引'!$I$5:$I$80)</f>
        <v>0</v>
      </c>
      <c r="V66" s="26">
        <f>SUMIF('07数值索引'!$A$5:$A$80,C66,'07数值索引'!$J$5:$J$80)</f>
        <v>0</v>
      </c>
    </row>
    <row r="67" ht="14.5" spans="1:22">
      <c r="A67" s="24" t="s">
        <v>681</v>
      </c>
      <c r="B67" s="25">
        <v>3</v>
      </c>
      <c r="C67" s="26" t="s">
        <v>165</v>
      </c>
      <c r="D67" s="26" t="str">
        <f>IFERROR(VLOOKUP(C67,'07数值索引'!$A$5:$S$80,19,FALSE),"未找到事件")</f>
        <v>追问旧法会，保留判断</v>
      </c>
      <c r="E67" s="25">
        <f>SUMIFS($O$5:O66,$A$5:$A66,A67)</f>
        <v>0</v>
      </c>
      <c r="F67" s="25">
        <f>SUMIFS($P$5:P66,$A$5:$A66,A67)</f>
        <v>0</v>
      </c>
      <c r="G67" s="25">
        <f>SUMIFS($Q$5:Q66,$A$5:$A66,A67)</f>
        <v>2</v>
      </c>
      <c r="H67" s="25">
        <f>SUMIFS($R$5:R66,$A$5:$A66,A67)</f>
        <v>1</v>
      </c>
      <c r="I67" s="25">
        <f>SUMIFS($S$5:S66,$A$5:$A66,A67)</f>
        <v>0</v>
      </c>
      <c r="J67" s="25">
        <f>SUMIFS($T$5:T66,$A$5:$A66,A67)</f>
        <v>0</v>
      </c>
      <c r="K67" s="25">
        <f>SUMIFS($U$5:U66,$A$5:$A66,A67)</f>
        <v>0</v>
      </c>
      <c r="L67" s="25">
        <f>SUMIFS($V$5:V66,$A$5:$A66,A67)</f>
        <v>0</v>
      </c>
      <c r="M67" s="27" t="s">
        <v>723</v>
      </c>
      <c r="N67" s="26" t="str">
        <f>IF(COUNTIF('07数值索引'!$A$5:$A$80,C67)=1,"PASS","CHECK")</f>
        <v>PASS</v>
      </c>
      <c r="O67" s="26">
        <f>SUMIF('07数值索引'!$A$5:$A$80,C67,'07数值索引'!$D$5:$D$80)</f>
        <v>0</v>
      </c>
      <c r="P67" s="26">
        <f>SUMIF('07数值索引'!$A$5:$A$80,C67,'07数值索引'!$E$5:$E$80)</f>
        <v>0</v>
      </c>
      <c r="Q67" s="26">
        <f>SUMIF('07数值索引'!$A$5:$A$80,C67,'07数值索引'!$F$5:$F$80)</f>
        <v>0</v>
      </c>
      <c r="R67" s="26">
        <f>SUMIF('07数值索引'!$A$5:$A$80,C67,'07数值索引'!$G$5:$G$80)</f>
        <v>0</v>
      </c>
      <c r="S67" s="26">
        <f>SUMIF('07数值索引'!$A$5:$A$80,C67,'07数值索引'!$M$5:$M$80)</f>
        <v>0</v>
      </c>
      <c r="T67" s="26">
        <f>SUMIF('07数值索引'!$A$5:$A$80,C67,'07数值索引'!$H$5:$H$80)</f>
        <v>0</v>
      </c>
      <c r="U67" s="26">
        <f>SUMIF('07数值索引'!$A$5:$A$80,C67,'07数值索引'!$I$5:$I$80)</f>
        <v>0</v>
      </c>
      <c r="V67" s="26">
        <f>SUMIF('07数值索引'!$A$5:$A$80,C67,'07数值索引'!$J$5:$J$80)</f>
        <v>0</v>
      </c>
    </row>
    <row r="68" ht="14.5" spans="1:22">
      <c r="A68" s="24" t="s">
        <v>681</v>
      </c>
      <c r="B68" s="25">
        <v>4</v>
      </c>
      <c r="C68" s="26" t="s">
        <v>249</v>
      </c>
      <c r="D68" s="26" t="str">
        <f>IFERROR(VLOOKUP(C68,'07数值索引'!$A$5:$S$80,19,FALSE),"未找到事件")</f>
        <v>阿禾带人找到后院藏粮，粮商记住她的脸</v>
      </c>
      <c r="E68" s="25">
        <f>SUMIFS($O$5:O67,$A$5:$A67,A68)</f>
        <v>0</v>
      </c>
      <c r="F68" s="25">
        <f>SUMIFS($P$5:P67,$A$5:$A67,A68)</f>
        <v>0</v>
      </c>
      <c r="G68" s="25">
        <f>SUMIFS($Q$5:Q67,$A$5:$A67,A68)</f>
        <v>2</v>
      </c>
      <c r="H68" s="25">
        <f>SUMIFS($R$5:R67,$A$5:$A67,A68)</f>
        <v>1</v>
      </c>
      <c r="I68" s="25">
        <f>SUMIFS($S$5:S67,$A$5:$A67,A68)</f>
        <v>0</v>
      </c>
      <c r="J68" s="25">
        <f>SUMIFS($T$5:T67,$A$5:$A67,A68)</f>
        <v>0</v>
      </c>
      <c r="K68" s="25">
        <f>SUMIFS($U$5:U67,$A$5:$A67,A68)</f>
        <v>0</v>
      </c>
      <c r="L68" s="25">
        <f>SUMIFS($V$5:V67,$A$5:$A67,A68)</f>
        <v>0</v>
      </c>
      <c r="M68" s="27" t="s">
        <v>723</v>
      </c>
      <c r="N68" s="26" t="str">
        <f>IF(COUNTIF('07数值索引'!$A$5:$A$80,C68)=1,"PASS","CHECK")</f>
        <v>PASS</v>
      </c>
      <c r="O68" s="26">
        <f>SUMIF('07数值索引'!$A$5:$A$80,C68,'07数值索引'!$D$5:$D$80)</f>
        <v>1</v>
      </c>
      <c r="P68" s="26">
        <f>SUMIF('07数值索引'!$A$5:$A$80,C68,'07数值索引'!$E$5:$E$80)</f>
        <v>0</v>
      </c>
      <c r="Q68" s="26">
        <f>SUMIF('07数值索引'!$A$5:$A$80,C68,'07数值索引'!$F$5:$F$80)</f>
        <v>1</v>
      </c>
      <c r="R68" s="26">
        <f>SUMIF('07数值索引'!$A$5:$A$80,C68,'07数值索引'!$G$5:$G$80)</f>
        <v>1</v>
      </c>
      <c r="S68" s="26">
        <f>SUMIF('07数值索引'!$A$5:$A$80,C68,'07数值索引'!$M$5:$M$80)</f>
        <v>1</v>
      </c>
      <c r="T68" s="26">
        <f>SUMIF('07数值索引'!$A$5:$A$80,C68,'07数值索引'!$H$5:$H$80)</f>
        <v>0</v>
      </c>
      <c r="U68" s="26">
        <f>SUMIF('07数值索引'!$A$5:$A$80,C68,'07数值索引'!$I$5:$I$80)</f>
        <v>0</v>
      </c>
      <c r="V68" s="26">
        <f>SUMIF('07数值索引'!$A$5:$A$80,C68,'07数值索引'!$J$5:$J$80)</f>
        <v>0</v>
      </c>
    </row>
    <row r="69" ht="14.5" spans="1:22">
      <c r="A69" s="24" t="s">
        <v>681</v>
      </c>
      <c r="B69" s="25">
        <v>5</v>
      </c>
      <c r="C69" s="26" t="s">
        <v>187</v>
      </c>
      <c r="D69" s="26" t="str">
        <f>IFERROR(VLOOKUP(C69,'07数值索引'!$A$5:$S$80,19,FALSE),"未找到事件")</f>
        <v>沉默并交出名单</v>
      </c>
      <c r="E69" s="25">
        <f>SUMIFS($O$5:O68,$A$5:$A68,A69)</f>
        <v>1</v>
      </c>
      <c r="F69" s="25">
        <f>SUMIFS($P$5:P68,$A$5:$A68,A69)</f>
        <v>0</v>
      </c>
      <c r="G69" s="25">
        <f>SUMIFS($Q$5:Q68,$A$5:$A68,A69)</f>
        <v>3</v>
      </c>
      <c r="H69" s="25">
        <f>SUMIFS($R$5:R68,$A$5:$A68,A69)</f>
        <v>2</v>
      </c>
      <c r="I69" s="25">
        <f>SUMIFS($S$5:S68,$A$5:$A68,A69)</f>
        <v>1</v>
      </c>
      <c r="J69" s="25">
        <f>SUMIFS($T$5:T68,$A$5:$A68,A69)</f>
        <v>0</v>
      </c>
      <c r="K69" s="25">
        <f>SUMIFS($U$5:U68,$A$5:$A68,A69)</f>
        <v>0</v>
      </c>
      <c r="L69" s="25">
        <f>SUMIFS($V$5:V68,$A$5:$A68,A69)</f>
        <v>0</v>
      </c>
      <c r="M69" s="27" t="s">
        <v>723</v>
      </c>
      <c r="N69" s="26" t="str">
        <f>IF(COUNTIF('07数值索引'!$A$5:$A$80,C69)=1,"PASS","CHECK")</f>
        <v>PASS</v>
      </c>
      <c r="O69" s="26">
        <f>SUMIF('07数值索引'!$A$5:$A$80,C69,'07数值索引'!$D$5:$D$80)</f>
        <v>2</v>
      </c>
      <c r="P69" s="26">
        <f>SUMIF('07数值索引'!$A$5:$A$80,C69,'07数值索引'!$E$5:$E$80)</f>
        <v>0</v>
      </c>
      <c r="Q69" s="26">
        <f>SUMIF('07数值索引'!$A$5:$A$80,C69,'07数值索引'!$F$5:$F$80)</f>
        <v>1</v>
      </c>
      <c r="R69" s="26">
        <f>SUMIF('07数值索引'!$A$5:$A$80,C69,'07数值索引'!$G$5:$G$80)</f>
        <v>0</v>
      </c>
      <c r="S69" s="26">
        <f>SUMIF('07数值索引'!$A$5:$A$80,C69,'07数值索引'!$M$5:$M$80)</f>
        <v>0</v>
      </c>
      <c r="T69" s="26">
        <f>SUMIF('07数值索引'!$A$5:$A$80,C69,'07数值索引'!$H$5:$H$80)</f>
        <v>0</v>
      </c>
      <c r="U69" s="26">
        <f>SUMIF('07数值索引'!$A$5:$A$80,C69,'07数值索引'!$I$5:$I$80)</f>
        <v>0</v>
      </c>
      <c r="V69" s="26">
        <f>SUMIF('07数值索引'!$A$5:$A$80,C69,'07数值索引'!$J$5:$J$80)</f>
        <v>0</v>
      </c>
    </row>
    <row r="70" ht="14.5" spans="1:22">
      <c r="A70" s="24" t="s">
        <v>681</v>
      </c>
      <c r="B70" s="25">
        <v>6</v>
      </c>
      <c r="C70" s="26" t="s">
        <v>197</v>
      </c>
      <c r="D70" s="26" t="str">
        <f>IFERROR(VLOOKUP(C70,'07数值索引'!$A$5:$S$80,19,FALSE),"未找到事件")</f>
        <v>承认说过，但强调自己不知道会死人</v>
      </c>
      <c r="E70" s="25">
        <f>SUMIFS($O$5:O69,$A$5:$A69,A70)</f>
        <v>3</v>
      </c>
      <c r="F70" s="25">
        <f>SUMIFS($P$5:P69,$A$5:$A69,A70)</f>
        <v>0</v>
      </c>
      <c r="G70" s="25">
        <f>SUMIFS($Q$5:Q69,$A$5:$A69,A70)</f>
        <v>4</v>
      </c>
      <c r="H70" s="25">
        <f>SUMIFS($R$5:R69,$A$5:$A69,A70)</f>
        <v>2</v>
      </c>
      <c r="I70" s="25">
        <f>SUMIFS($S$5:S69,$A$5:$A69,A70)</f>
        <v>1</v>
      </c>
      <c r="J70" s="25">
        <f>SUMIFS($T$5:T69,$A$5:$A69,A70)</f>
        <v>0</v>
      </c>
      <c r="K70" s="25">
        <f>SUMIFS($U$5:U69,$A$5:$A69,A70)</f>
        <v>0</v>
      </c>
      <c r="L70" s="25">
        <f>SUMIFS($V$5:V69,$A$5:$A69,A70)</f>
        <v>0</v>
      </c>
      <c r="M70" s="27" t="s">
        <v>723</v>
      </c>
      <c r="N70" s="26" t="str">
        <f>IF(COUNTIF('07数值索引'!$A$5:$A$80,C70)=1,"PASS","CHECK")</f>
        <v>PASS</v>
      </c>
      <c r="O70" s="26">
        <f>SUMIF('07数值索引'!$A$5:$A$80,C70,'07数值索引'!$D$5:$D$80)</f>
        <v>0</v>
      </c>
      <c r="P70" s="26">
        <f>SUMIF('07数值索引'!$A$5:$A$80,C70,'07数值索引'!$E$5:$E$80)</f>
        <v>0</v>
      </c>
      <c r="Q70" s="26">
        <f>SUMIF('07数值索引'!$A$5:$A$80,C70,'07数值索引'!$F$5:$F$80)</f>
        <v>-1</v>
      </c>
      <c r="R70" s="26">
        <f>SUMIF('07数值索引'!$A$5:$A$80,C70,'07数值索引'!$G$5:$G$80)</f>
        <v>0</v>
      </c>
      <c r="S70" s="26">
        <f>SUMIF('07数值索引'!$A$5:$A$80,C70,'07数值索引'!$M$5:$M$80)</f>
        <v>0</v>
      </c>
      <c r="T70" s="26">
        <f>SUMIF('07数值索引'!$A$5:$A$80,C70,'07数值索引'!$H$5:$H$80)</f>
        <v>0</v>
      </c>
      <c r="U70" s="26">
        <f>SUMIF('07数值索引'!$A$5:$A$80,C70,'07数值索引'!$I$5:$I$80)</f>
        <v>0</v>
      </c>
      <c r="V70" s="26">
        <f>SUMIF('07数值索引'!$A$5:$A$80,C70,'07数值索引'!$J$5:$J$80)</f>
        <v>0</v>
      </c>
    </row>
    <row r="71" ht="14.5" spans="1:22">
      <c r="A71" s="24" t="s">
        <v>681</v>
      </c>
      <c r="B71" s="25">
        <v>7</v>
      </c>
      <c r="C71" s="26" t="s">
        <v>441</v>
      </c>
      <c r="D71" s="26" t="str">
        <f>IFERROR(VLOOKUP(C71,'07数值索引'!$A$5:$S$80,19,FALSE),"未找到事件")</f>
        <v>罪行离开主角控制，由受害者决定如何使用</v>
      </c>
      <c r="E71" s="25">
        <f>SUMIFS($O$5:O70,$A$5:$A70,A71)</f>
        <v>3</v>
      </c>
      <c r="F71" s="25">
        <f>SUMIFS($P$5:P70,$A$5:$A70,A71)</f>
        <v>0</v>
      </c>
      <c r="G71" s="25">
        <f>SUMIFS($Q$5:Q70,$A$5:$A70,A71)</f>
        <v>3</v>
      </c>
      <c r="H71" s="25">
        <f>SUMIFS($R$5:R70,$A$5:$A70,A71)</f>
        <v>2</v>
      </c>
      <c r="I71" s="25">
        <f>SUMIFS($S$5:S70,$A$5:$A70,A71)</f>
        <v>1</v>
      </c>
      <c r="J71" s="25">
        <f>SUMIFS($T$5:T70,$A$5:$A70,A71)</f>
        <v>0</v>
      </c>
      <c r="K71" s="25">
        <f>SUMIFS($U$5:U70,$A$5:$A70,A71)</f>
        <v>0</v>
      </c>
      <c r="L71" s="25">
        <f>SUMIFS($V$5:V70,$A$5:$A70,A71)</f>
        <v>0</v>
      </c>
      <c r="M71" s="27" t="s">
        <v>724</v>
      </c>
      <c r="N71" s="26" t="str">
        <f>IF(AND(COUNTIF('07数值索引'!$A$5:$A$80,C71)=1,OR(G71&gt;=4,AND(G71&gt;=1,G71&lt;=3,OR(COUNTIFS($A$5:$A70,A71,$C$5:$C70,"S04-A04")&gt;0,COUNTIFS($A$5:$A70,A71,$C$5:$C70,"S04-B01")&gt;0)))),"PASS","CHECK")</f>
        <v>PASS</v>
      </c>
      <c r="O71" s="26">
        <f>SUMIF('07数值索引'!$A$5:$A$80,C71,'07数值索引'!$D$5:$D$80)</f>
        <v>2</v>
      </c>
      <c r="P71" s="26">
        <f>SUMIF('07数值索引'!$A$5:$A$80,C71,'07数值索引'!$E$5:$E$80)</f>
        <v>0</v>
      </c>
      <c r="Q71" s="26">
        <f>SUMIF('07数值索引'!$A$5:$A$80,C71,'07数值索引'!$F$5:$F$80)</f>
        <v>1</v>
      </c>
      <c r="R71" s="26">
        <f>SUMIF('07数值索引'!$A$5:$A$80,C71,'07数值索引'!$G$5:$G$80)</f>
        <v>0</v>
      </c>
      <c r="S71" s="26">
        <f>SUMIF('07数值索引'!$A$5:$A$80,C71,'07数值索引'!$M$5:$M$80)</f>
        <v>0</v>
      </c>
      <c r="T71" s="26">
        <f>SUMIF('07数值索引'!$A$5:$A$80,C71,'07数值索引'!$H$5:$H$80)</f>
        <v>1</v>
      </c>
      <c r="U71" s="26">
        <f>SUMIF('07数值索引'!$A$5:$A$80,C71,'07数值索引'!$I$5:$I$80)</f>
        <v>0</v>
      </c>
      <c r="V71" s="26">
        <f>SUMIF('07数值索引'!$A$5:$A$80,C71,'07数值索引'!$J$5:$J$80)</f>
        <v>0</v>
      </c>
    </row>
    <row r="72" ht="14.5" spans="1:22">
      <c r="A72" s="24" t="s">
        <v>681</v>
      </c>
      <c r="B72" s="25">
        <v>8</v>
      </c>
      <c r="C72" s="26" t="s">
        <v>467</v>
      </c>
      <c r="D72" s="26" t="str">
        <f>IFERROR(VLOOKUP(C72,'07数值索引'!$A$5:$S$80,19,FALSE),"未找到事件")</f>
        <v>保留自保筹码，不让真相抵达他人</v>
      </c>
      <c r="E72" s="25">
        <f>SUMIFS($O$5:O71,$A$5:$A71,A72)</f>
        <v>5</v>
      </c>
      <c r="F72" s="25">
        <f>SUMIFS($P$5:P71,$A$5:$A71,A72)</f>
        <v>0</v>
      </c>
      <c r="G72" s="25">
        <f>SUMIFS($Q$5:Q71,$A$5:$A71,A72)</f>
        <v>4</v>
      </c>
      <c r="H72" s="25">
        <f>SUMIFS($R$5:R71,$A$5:$A71,A72)</f>
        <v>2</v>
      </c>
      <c r="I72" s="25">
        <f>SUMIFS($S$5:S71,$A$5:$A71,A72)</f>
        <v>1</v>
      </c>
      <c r="J72" s="25">
        <f>SUMIFS($T$5:T71,$A$5:$A71,A72)</f>
        <v>1</v>
      </c>
      <c r="K72" s="25">
        <f>SUMIFS($U$5:U71,$A$5:$A71,A72)</f>
        <v>0</v>
      </c>
      <c r="L72" s="25">
        <f>SUMIFS($V$5:V71,$A$5:$A71,A72)</f>
        <v>0</v>
      </c>
      <c r="M72" s="27" t="s">
        <v>723</v>
      </c>
      <c r="N72" s="26" t="str">
        <f>IF(COUNTIF('07数值索引'!$A$5:$A$80,C72)=1,"PASS","CHECK")</f>
        <v>PASS</v>
      </c>
      <c r="O72" s="26">
        <f>SUMIF('07数值索引'!$A$5:$A$80,C72,'07数值索引'!$D$5:$D$80)</f>
        <v>-1</v>
      </c>
      <c r="P72" s="26">
        <f>SUMIF('07数值索引'!$A$5:$A$80,C72,'07数值索引'!$E$5:$E$80)</f>
        <v>0</v>
      </c>
      <c r="Q72" s="26">
        <f>SUMIF('07数值索引'!$A$5:$A$80,C72,'07数值索引'!$F$5:$F$80)</f>
        <v>0</v>
      </c>
      <c r="R72" s="26">
        <f>SUMIF('07数值索引'!$A$5:$A$80,C72,'07数值索引'!$G$5:$G$80)</f>
        <v>0</v>
      </c>
      <c r="S72" s="26">
        <f>SUMIF('07数值索引'!$A$5:$A$80,C72,'07数值索引'!$M$5:$M$80)</f>
        <v>0</v>
      </c>
      <c r="T72" s="26">
        <f>SUMIF('07数值索引'!$A$5:$A$80,C72,'07数值索引'!$H$5:$H$80)</f>
        <v>0</v>
      </c>
      <c r="U72" s="26">
        <f>SUMIF('07数值索引'!$A$5:$A$80,C72,'07数值索引'!$I$5:$I$80)</f>
        <v>1</v>
      </c>
      <c r="V72" s="26">
        <f>SUMIF('07数值索引'!$A$5:$A$80,C72,'07数值索引'!$J$5:$J$80)</f>
        <v>0</v>
      </c>
    </row>
    <row r="73" ht="14.5" spans="1:22">
      <c r="A73" s="24" t="s">
        <v>681</v>
      </c>
      <c r="B73" s="25">
        <v>9</v>
      </c>
      <c r="C73" s="26" t="s">
        <v>469</v>
      </c>
      <c r="D73" s="26" t="str">
        <f>IFERROR(VLOOKUP(C73,'07数值索引'!$A$5:$S$80,19,FALSE),"未找到事件")</f>
        <v>赃款成为迟到的补偿，但不兑换宽恕</v>
      </c>
      <c r="E73" s="25">
        <f>SUMIFS($O$5:O72,$A$5:$A72,A73)</f>
        <v>4</v>
      </c>
      <c r="F73" s="25">
        <f>SUMIFS($P$5:P72,$A$5:$A72,A73)</f>
        <v>0</v>
      </c>
      <c r="G73" s="25">
        <f>SUMIFS($Q$5:Q72,$A$5:$A72,A73)</f>
        <v>4</v>
      </c>
      <c r="H73" s="25">
        <f>SUMIFS($R$5:R72,$A$5:$A72,A73)</f>
        <v>2</v>
      </c>
      <c r="I73" s="25">
        <f>SUMIFS($S$5:S72,$A$5:$A72,A73)</f>
        <v>1</v>
      </c>
      <c r="J73" s="25">
        <f>SUMIFS($T$5:T72,$A$5:$A72,A73)</f>
        <v>1</v>
      </c>
      <c r="K73" s="25">
        <f>SUMIFS($U$5:U72,$A$5:$A72,A73)</f>
        <v>1</v>
      </c>
      <c r="L73" s="25">
        <f>SUMIFS($V$5:V72,$A$5:$A72,A73)</f>
        <v>0</v>
      </c>
      <c r="M73" s="27" t="s">
        <v>723</v>
      </c>
      <c r="N73" s="26" t="str">
        <f>IF(COUNTIF('07数值索引'!$A$5:$A$80,C73)=1,"PASS","CHECK")</f>
        <v>PASS</v>
      </c>
      <c r="O73" s="26">
        <f>SUMIF('07数值索引'!$A$5:$A$80,C73,'07数值索引'!$D$5:$D$80)</f>
        <v>2</v>
      </c>
      <c r="P73" s="26">
        <f>SUMIF('07数值索引'!$A$5:$A$80,C73,'07数值索引'!$E$5:$E$80)</f>
        <v>0</v>
      </c>
      <c r="Q73" s="26">
        <f>SUMIF('07数值索引'!$A$5:$A$80,C73,'07数值索引'!$F$5:$F$80)</f>
        <v>1</v>
      </c>
      <c r="R73" s="26">
        <f>SUMIF('07数值索引'!$A$5:$A$80,C73,'07数值索引'!$G$5:$G$80)</f>
        <v>0</v>
      </c>
      <c r="S73" s="26">
        <f>SUMIF('07数值索引'!$A$5:$A$80,C73,'07数值索引'!$M$5:$M$80)</f>
        <v>0</v>
      </c>
      <c r="T73" s="26">
        <f>SUMIF('07数值索引'!$A$5:$A$80,C73,'07数值索引'!$H$5:$H$80)</f>
        <v>0</v>
      </c>
      <c r="U73" s="26">
        <f>SUMIF('07数值索引'!$A$5:$A$80,C73,'07数值索引'!$I$5:$I$80)</f>
        <v>0</v>
      </c>
      <c r="V73" s="26">
        <f>SUMIF('07数值索引'!$A$5:$A$80,C73,'07数值索引'!$J$5:$J$80)</f>
        <v>0</v>
      </c>
    </row>
    <row r="74" ht="14.5" spans="1:22">
      <c r="A74" s="24" t="s">
        <v>681</v>
      </c>
      <c r="B74" s="25">
        <v>10</v>
      </c>
      <c r="C74" s="26" t="s">
        <v>479</v>
      </c>
      <c r="D74" s="26" t="str">
        <f>IFERROR(VLOOKUP(C74,'07数值索引'!$A$5:$S$80,19,FALSE),"未找到事件")</f>
        <v>主动关闭最便利的旧权力入口</v>
      </c>
      <c r="E74" s="25">
        <f>SUMIFS($O$5:O73,$A$5:$A73,A74)</f>
        <v>6</v>
      </c>
      <c r="F74" s="25">
        <f>SUMIFS($P$5:P73,$A$5:$A73,A74)</f>
        <v>0</v>
      </c>
      <c r="G74" s="25">
        <f>SUMIFS($Q$5:Q73,$A$5:$A73,A74)</f>
        <v>5</v>
      </c>
      <c r="H74" s="25">
        <f>SUMIFS($R$5:R73,$A$5:$A73,A74)</f>
        <v>2</v>
      </c>
      <c r="I74" s="25">
        <f>SUMIFS($S$5:S73,$A$5:$A73,A74)</f>
        <v>1</v>
      </c>
      <c r="J74" s="25">
        <f>SUMIFS($T$5:T73,$A$5:$A73,A74)</f>
        <v>1</v>
      </c>
      <c r="K74" s="25">
        <f>SUMIFS($U$5:U73,$A$5:$A73,A74)</f>
        <v>1</v>
      </c>
      <c r="L74" s="25">
        <f>SUMIFS($V$5:V73,$A$5:$A73,A74)</f>
        <v>0</v>
      </c>
      <c r="M74" s="27" t="s">
        <v>723</v>
      </c>
      <c r="N74" s="26" t="str">
        <f>IF(COUNTIF('07数值索引'!$A$5:$A$80,C74)=1,"PASS","CHECK")</f>
        <v>PASS</v>
      </c>
      <c r="O74" s="26">
        <f>SUMIF('07数值索引'!$A$5:$A$80,C74,'07数值索引'!$D$5:$D$80)</f>
        <v>2</v>
      </c>
      <c r="P74" s="26">
        <f>SUMIF('07数值索引'!$A$5:$A$80,C74,'07数值索引'!$E$5:$E$80)</f>
        <v>-1</v>
      </c>
      <c r="Q74" s="26">
        <f>SUMIF('07数值索引'!$A$5:$A$80,C74,'07数值索引'!$F$5:$F$80)</f>
        <v>1</v>
      </c>
      <c r="R74" s="26">
        <f>SUMIF('07数值索引'!$A$5:$A$80,C74,'07数值索引'!$G$5:$G$80)</f>
        <v>0</v>
      </c>
      <c r="S74" s="26">
        <f>SUMIF('07数值索引'!$A$5:$A$80,C74,'07数值索引'!$M$5:$M$80)</f>
        <v>0</v>
      </c>
      <c r="T74" s="26">
        <f>SUMIF('07数值索引'!$A$5:$A$80,C74,'07数值索引'!$H$5:$H$80)</f>
        <v>0</v>
      </c>
      <c r="U74" s="26">
        <f>SUMIF('07数值索引'!$A$5:$A$80,C74,'07数值索引'!$I$5:$I$80)</f>
        <v>0</v>
      </c>
      <c r="V74" s="26">
        <f>SUMIF('07数值索引'!$A$5:$A$80,C74,'07数值索引'!$J$5:$J$80)</f>
        <v>0</v>
      </c>
    </row>
    <row r="75" ht="29" spans="1:22">
      <c r="A75" s="24" t="s">
        <v>681</v>
      </c>
      <c r="B75" s="25">
        <v>11</v>
      </c>
      <c r="C75" s="26" t="s">
        <v>636</v>
      </c>
      <c r="D75" s="26" t="str">
        <f>IFERROR(VLOOKUP(C75,'07数值索引'!$A$5:$S$80,19,FALSE),"未找到事件")</f>
        <v>阿禾中信任时只带证据离开，不共享撤离路线；魏先在阿芸离开前截住她</v>
      </c>
      <c r="E75" s="25">
        <f>SUMIFS($O$5:O74,$A$5:$A74,A75)</f>
        <v>8</v>
      </c>
      <c r="F75" s="25">
        <f>SUMIFS($P$5:P74,$A$5:$A74,A75)</f>
        <v>-1</v>
      </c>
      <c r="G75" s="25">
        <f>SUMIFS($Q$5:Q74,$A$5:$A74,A75)</f>
        <v>6</v>
      </c>
      <c r="H75" s="25">
        <f>SUMIFS($R$5:R74,$A$5:$A74,A75)</f>
        <v>2</v>
      </c>
      <c r="I75" s="25">
        <f>SUMIFS($S$5:S74,$A$5:$A74,A75)</f>
        <v>1</v>
      </c>
      <c r="J75" s="25">
        <f>SUMIFS($T$5:T74,$A$5:$A74,A75)</f>
        <v>1</v>
      </c>
      <c r="K75" s="25">
        <f>SUMIFS($U$5:U74,$A$5:$A74,A75)</f>
        <v>1</v>
      </c>
      <c r="L75" s="25">
        <f>SUMIFS($V$5:V74,$A$5:$A74,A75)</f>
        <v>0</v>
      </c>
      <c r="M75" s="27" t="s">
        <v>723</v>
      </c>
      <c r="N75" s="26" t="str">
        <f>IF(COUNTIF('07数值索引'!$A$5:$A$80,C75)=1,"PASS","CHECK")</f>
        <v>PASS</v>
      </c>
      <c r="O75" s="26">
        <f>SUMIF('07数值索引'!$A$5:$A$80,C75,'07数值索引'!$D$5:$D$80)</f>
        <v>0</v>
      </c>
      <c r="P75" s="26">
        <f>SUMIF('07数值索引'!$A$5:$A$80,C75,'07数值索引'!$E$5:$E$80)</f>
        <v>0</v>
      </c>
      <c r="Q75" s="26">
        <f>SUMIF('07数值索引'!$A$5:$A$80,C75,'07数值索引'!$F$5:$F$80)</f>
        <v>0</v>
      </c>
      <c r="R75" s="26">
        <f>SUMIF('07数值索引'!$A$5:$A$80,C75,'07数值索引'!$G$5:$G$80)</f>
        <v>2</v>
      </c>
      <c r="S75" s="26">
        <f>SUMIF('07数值索引'!$A$5:$A$80,C75,'07数值索引'!$M$5:$M$80)</f>
        <v>0</v>
      </c>
      <c r="T75" s="26">
        <f>SUMIF('07数值索引'!$A$5:$A$80,C75,'07数值索引'!$H$5:$H$80)</f>
        <v>0</v>
      </c>
      <c r="U75" s="26">
        <f>SUMIF('07数值索引'!$A$5:$A$80,C75,'07数值索引'!$I$5:$I$80)</f>
        <v>0</v>
      </c>
      <c r="V75" s="26">
        <f>SUMIF('07数值索引'!$A$5:$A$80,C75,'07数值索引'!$J$5:$J$80)</f>
        <v>0</v>
      </c>
    </row>
    <row r="76" ht="14.5" spans="1:22">
      <c r="A76" s="24" t="s">
        <v>681</v>
      </c>
      <c r="B76" s="25">
        <v>12</v>
      </c>
      <c r="C76" s="26" t="s">
        <v>209</v>
      </c>
      <c r="D76" s="26" t="str">
        <f>IFERROR(VLOOKUP(C76,'07数值索引'!$A$5:$S$80,19,FALSE),"未找到事件")</f>
        <v>让阿禾带证据先走，阿芸留下拖住追兵</v>
      </c>
      <c r="E76" s="25">
        <f>SUMIFS($O$5:O75,$A$5:$A75,A76)</f>
        <v>8</v>
      </c>
      <c r="F76" s="25">
        <f>SUMIFS($P$5:P75,$A$5:$A75,A76)</f>
        <v>-1</v>
      </c>
      <c r="G76" s="25">
        <f>SUMIFS($Q$5:Q75,$A$5:$A75,A76)</f>
        <v>6</v>
      </c>
      <c r="H76" s="25">
        <f>SUMIFS($R$5:R75,$A$5:$A75,A76)</f>
        <v>4</v>
      </c>
      <c r="I76" s="25">
        <f>SUMIFS($S$5:S75,$A$5:$A75,A76)</f>
        <v>1</v>
      </c>
      <c r="J76" s="25">
        <f>SUMIFS($T$5:T75,$A$5:$A75,A76)</f>
        <v>1</v>
      </c>
      <c r="K76" s="25">
        <f>SUMIFS($U$5:U75,$A$5:$A75,A76)</f>
        <v>1</v>
      </c>
      <c r="L76" s="25">
        <f>SUMIFS($V$5:V75,$A$5:$A75,A76)</f>
        <v>0</v>
      </c>
      <c r="M76" s="27" t="s">
        <v>723</v>
      </c>
      <c r="N76" s="26" t="str">
        <f>IF(COUNTIF('07数值索引'!$A$5:$A$80,C76)=1,"PASS","CHECK")</f>
        <v>PASS</v>
      </c>
      <c r="O76" s="26">
        <f>SUMIF('07数值索引'!$A$5:$A$80,C76,'07数值索引'!$D$5:$D$80)</f>
        <v>2</v>
      </c>
      <c r="P76" s="26">
        <f>SUMIF('07数值索引'!$A$5:$A$80,C76,'07数值索引'!$E$5:$E$80)</f>
        <v>0</v>
      </c>
      <c r="Q76" s="26">
        <f>SUMIF('07数值索引'!$A$5:$A$80,C76,'07数值索引'!$F$5:$F$80)</f>
        <v>2</v>
      </c>
      <c r="R76" s="26">
        <f>SUMIF('07数值索引'!$A$5:$A$80,C76,'07数值索引'!$G$5:$G$80)</f>
        <v>3</v>
      </c>
      <c r="S76" s="26">
        <f>SUMIF('07数值索引'!$A$5:$A$80,C76,'07数值索引'!$M$5:$M$80)</f>
        <v>0</v>
      </c>
      <c r="T76" s="26">
        <f>SUMIF('07数值索引'!$A$5:$A$80,C76,'07数值索引'!$H$5:$H$80)</f>
        <v>0</v>
      </c>
      <c r="U76" s="26">
        <f>SUMIF('07数值索引'!$A$5:$A$80,C76,'07数值索引'!$I$5:$I$80)</f>
        <v>0</v>
      </c>
      <c r="V76" s="26">
        <f>SUMIF('07数值索引'!$A$5:$A$80,C76,'07数值索引'!$J$5:$J$80)</f>
        <v>0</v>
      </c>
    </row>
    <row r="77" ht="14.5" spans="1:22">
      <c r="A77" s="24" t="s">
        <v>684</v>
      </c>
      <c r="B77" s="25">
        <v>1</v>
      </c>
      <c r="C77" s="26" t="s">
        <v>582</v>
      </c>
      <c r="D77" s="26" t="str">
        <f>IFERROR(VLOOKUP(C77,'07数值索引'!$A$5:$S$80,19,FALSE),"未找到事件")</f>
        <v>阿禾因救人而保留最低限度善意；追兵已在沿河搜索</v>
      </c>
      <c r="E77" s="25">
        <f t="shared" ref="E77:L77" si="7">0</f>
        <v>0</v>
      </c>
      <c r="F77" s="25">
        <f t="shared" si="7"/>
        <v>0</v>
      </c>
      <c r="G77" s="25">
        <f t="shared" si="7"/>
        <v>0</v>
      </c>
      <c r="H77" s="25">
        <f t="shared" si="7"/>
        <v>0</v>
      </c>
      <c r="I77" s="25">
        <f t="shared" si="7"/>
        <v>0</v>
      </c>
      <c r="J77" s="25">
        <f t="shared" si="7"/>
        <v>0</v>
      </c>
      <c r="K77" s="25">
        <f t="shared" si="7"/>
        <v>0</v>
      </c>
      <c r="L77" s="25">
        <f t="shared" si="7"/>
        <v>0</v>
      </c>
      <c r="M77" s="27" t="s">
        <v>723</v>
      </c>
      <c r="N77" s="26" t="str">
        <f>IF(COUNTIF('07数值索引'!$A$5:$A$80,C77)=1,"PASS","CHECK")</f>
        <v>PASS</v>
      </c>
      <c r="O77" s="26">
        <f>SUMIF('07数值索引'!$A$5:$A$80,C77,'07数值索引'!$D$5:$D$80)</f>
        <v>0</v>
      </c>
      <c r="P77" s="26">
        <f>SUMIF('07数值索引'!$A$5:$A$80,C77,'07数值索引'!$E$5:$E$80)</f>
        <v>0</v>
      </c>
      <c r="Q77" s="26">
        <f>SUMIF('07数值索引'!$A$5:$A$80,C77,'07数值索引'!$F$5:$F$80)</f>
        <v>1</v>
      </c>
      <c r="R77" s="26">
        <f>SUMIF('07数值索引'!$A$5:$A$80,C77,'07数值索引'!$G$5:$G$80)</f>
        <v>1</v>
      </c>
      <c r="S77" s="26">
        <f>SUMIF('07数值索引'!$A$5:$A$80,C77,'07数值索引'!$M$5:$M$80)</f>
        <v>0</v>
      </c>
      <c r="T77" s="26">
        <f>SUMIF('07数值索引'!$A$5:$A$80,C77,'07数值索引'!$H$5:$H$80)</f>
        <v>0</v>
      </c>
      <c r="U77" s="26">
        <f>SUMIF('07数值索引'!$A$5:$A$80,C77,'07数值索引'!$I$5:$I$80)</f>
        <v>0</v>
      </c>
      <c r="V77" s="26">
        <f>SUMIF('07数值索引'!$A$5:$A$80,C77,'07数值索引'!$J$5:$J$80)</f>
        <v>0</v>
      </c>
    </row>
    <row r="78" ht="14.5" spans="1:22">
      <c r="A78" s="24" t="s">
        <v>684</v>
      </c>
      <c r="B78" s="25">
        <v>2</v>
      </c>
      <c r="C78" s="26" t="s">
        <v>155</v>
      </c>
      <c r="D78" s="26" t="str">
        <f>IFERROR(VLOOKUP(C78,'07数值索引'!$A$5:$S$80,19,FALSE),"未找到事件")</f>
        <v>试探阿禾会不会交人</v>
      </c>
      <c r="E78" s="25">
        <f>SUMIFS($O$5:O77,$A$5:$A77,A78)</f>
        <v>0</v>
      </c>
      <c r="F78" s="25">
        <f>SUMIFS($P$5:P77,$A$5:$A77,A78)</f>
        <v>0</v>
      </c>
      <c r="G78" s="25">
        <f>SUMIFS($Q$5:Q77,$A$5:$A77,A78)</f>
        <v>1</v>
      </c>
      <c r="H78" s="25">
        <f>SUMIFS($R$5:R77,$A$5:$A77,A78)</f>
        <v>1</v>
      </c>
      <c r="I78" s="25">
        <f>SUMIFS($S$5:S77,$A$5:$A77,A78)</f>
        <v>0</v>
      </c>
      <c r="J78" s="25">
        <f>SUMIFS($T$5:T77,$A$5:$A77,A78)</f>
        <v>0</v>
      </c>
      <c r="K78" s="25">
        <f>SUMIFS($U$5:U77,$A$5:$A77,A78)</f>
        <v>0</v>
      </c>
      <c r="L78" s="25">
        <f>SUMIFS($V$5:V77,$A$5:$A77,A78)</f>
        <v>0</v>
      </c>
      <c r="M78" s="27" t="s">
        <v>723</v>
      </c>
      <c r="N78" s="26" t="str">
        <f>IF(COUNTIF('07数值索引'!$A$5:$A$80,C78)=1,"PASS","CHECK")</f>
        <v>PASS</v>
      </c>
      <c r="O78" s="26">
        <f>SUMIF('07数值索引'!$A$5:$A$80,C78,'07数值索引'!$D$5:$D$80)</f>
        <v>0</v>
      </c>
      <c r="P78" s="26">
        <f>SUMIF('07数值索引'!$A$5:$A$80,C78,'07数值索引'!$E$5:$E$80)</f>
        <v>0</v>
      </c>
      <c r="Q78" s="26">
        <f>SUMIF('07数值索引'!$A$5:$A$80,C78,'07数值索引'!$F$5:$F$80)</f>
        <v>0</v>
      </c>
      <c r="R78" s="26">
        <f>SUMIF('07数值索引'!$A$5:$A$80,C78,'07数值索引'!$G$5:$G$80)</f>
        <v>0</v>
      </c>
      <c r="S78" s="26">
        <f>SUMIF('07数值索引'!$A$5:$A$80,C78,'07数值索引'!$M$5:$M$80)</f>
        <v>0</v>
      </c>
      <c r="T78" s="26">
        <f>SUMIF('07数值索引'!$A$5:$A$80,C78,'07数值索引'!$H$5:$H$80)</f>
        <v>0</v>
      </c>
      <c r="U78" s="26">
        <f>SUMIF('07数值索引'!$A$5:$A$80,C78,'07数值索引'!$I$5:$I$80)</f>
        <v>0</v>
      </c>
      <c r="V78" s="26">
        <f>SUMIF('07数值索引'!$A$5:$A$80,C78,'07数值索引'!$J$5:$J$80)</f>
        <v>0</v>
      </c>
    </row>
    <row r="79" ht="14.5" spans="1:22">
      <c r="A79" s="24" t="s">
        <v>684</v>
      </c>
      <c r="B79" s="25">
        <v>3</v>
      </c>
      <c r="C79" s="26" t="s">
        <v>169</v>
      </c>
      <c r="D79" s="26" t="str">
        <f>IFERROR(VLOOKUP(C79,'07数值索引'!$A$5:$S$80,19,FALSE),"未找到事件")</f>
        <v>默认跪拜换取帮助；消息开始外泄</v>
      </c>
      <c r="E79" s="25">
        <f>SUMIFS($O$5:O78,$A$5:$A78,A79)</f>
        <v>0</v>
      </c>
      <c r="F79" s="25">
        <f>SUMIFS($P$5:P78,$A$5:$A78,A79)</f>
        <v>0</v>
      </c>
      <c r="G79" s="25">
        <f>SUMIFS($Q$5:Q78,$A$5:$A78,A79)</f>
        <v>1</v>
      </c>
      <c r="H79" s="25">
        <f>SUMIFS($R$5:R78,$A$5:$A78,A79)</f>
        <v>1</v>
      </c>
      <c r="I79" s="25">
        <f>SUMIFS($S$5:S78,$A$5:$A78,A79)</f>
        <v>0</v>
      </c>
      <c r="J79" s="25">
        <f>SUMIFS($T$5:T78,$A$5:$A78,A79)</f>
        <v>0</v>
      </c>
      <c r="K79" s="25">
        <f>SUMIFS($U$5:U78,$A$5:$A78,A79)</f>
        <v>0</v>
      </c>
      <c r="L79" s="25">
        <f>SUMIFS($V$5:V78,$A$5:$A78,A79)</f>
        <v>0</v>
      </c>
      <c r="M79" s="27" t="s">
        <v>723</v>
      </c>
      <c r="N79" s="26" t="str">
        <f>IF(COUNTIF('07数值索引'!$A$5:$A$80,C79)=1,"PASS","CHECK")</f>
        <v>PASS</v>
      </c>
      <c r="O79" s="26">
        <f>SUMIF('07数值索引'!$A$5:$A$80,C79,'07数值索引'!$D$5:$D$80)</f>
        <v>0</v>
      </c>
      <c r="P79" s="26">
        <f>SUMIF('07数值索引'!$A$5:$A$80,C79,'07数值索引'!$E$5:$E$80)</f>
        <v>1</v>
      </c>
      <c r="Q79" s="26">
        <f>SUMIF('07数值索引'!$A$5:$A$80,C79,'07数值索引'!$F$5:$F$80)</f>
        <v>-1</v>
      </c>
      <c r="R79" s="26">
        <f>SUMIF('07数值索引'!$A$5:$A$80,C79,'07数值索引'!$G$5:$G$80)</f>
        <v>1</v>
      </c>
      <c r="S79" s="26">
        <f>SUMIF('07数值索引'!$A$5:$A$80,C79,'07数值索引'!$M$5:$M$80)</f>
        <v>0</v>
      </c>
      <c r="T79" s="26">
        <f>SUMIF('07数值索引'!$A$5:$A$80,C79,'07数值索引'!$H$5:$H$80)</f>
        <v>0</v>
      </c>
      <c r="U79" s="26">
        <f>SUMIF('07数值索引'!$A$5:$A$80,C79,'07数值索引'!$I$5:$I$80)</f>
        <v>0</v>
      </c>
      <c r="V79" s="26">
        <f>SUMIF('07数值索引'!$A$5:$A$80,C79,'07数值索引'!$J$5:$J$80)</f>
        <v>0</v>
      </c>
    </row>
    <row r="80" ht="29" spans="1:22">
      <c r="A80" s="24" t="s">
        <v>684</v>
      </c>
      <c r="B80" s="25">
        <v>4</v>
      </c>
      <c r="C80" s="26" t="s">
        <v>276</v>
      </c>
      <c r="D80" s="26" t="str">
        <f>IFERROR(VLOOKUP(C80,'07数值索引'!$A$5:$S$80,19,FALSE),"未找到事件")</f>
        <v>阿芸将准确情报包装成神谕，逼粮商开仓；救人最多、暴露也最大</v>
      </c>
      <c r="E80" s="25">
        <f>SUMIFS($O$5:O79,$A$5:$A79,A80)</f>
        <v>0</v>
      </c>
      <c r="F80" s="25">
        <f>SUMIFS($P$5:P79,$A$5:$A79,A80)</f>
        <v>1</v>
      </c>
      <c r="G80" s="25">
        <f>SUMIFS($Q$5:Q79,$A$5:$A79,A80)</f>
        <v>0</v>
      </c>
      <c r="H80" s="25">
        <f>SUMIFS($R$5:R79,$A$5:$A79,A80)</f>
        <v>2</v>
      </c>
      <c r="I80" s="25">
        <f>SUMIFS($S$5:S79,$A$5:$A79,A80)</f>
        <v>0</v>
      </c>
      <c r="J80" s="25">
        <f>SUMIFS($T$5:T79,$A$5:$A79,A80)</f>
        <v>0</v>
      </c>
      <c r="K80" s="25">
        <f>SUMIFS($U$5:U79,$A$5:$A79,A80)</f>
        <v>0</v>
      </c>
      <c r="L80" s="25">
        <f>SUMIFS($V$5:V79,$A$5:$A79,A80)</f>
        <v>0</v>
      </c>
      <c r="M80" s="27" t="s">
        <v>723</v>
      </c>
      <c r="N80" s="26" t="str">
        <f>IF(COUNTIF('07数值索引'!$A$5:$A$80,C80)=1,"PASS","CHECK")</f>
        <v>PASS</v>
      </c>
      <c r="O80" s="26">
        <f>SUMIF('07数值索引'!$A$5:$A$80,C80,'07数值索引'!$D$5:$D$80)</f>
        <v>0</v>
      </c>
      <c r="P80" s="26">
        <f>SUMIF('07数值索引'!$A$5:$A$80,C80,'07数值索引'!$E$5:$E$80)</f>
        <v>2</v>
      </c>
      <c r="Q80" s="26">
        <f>SUMIF('07数值索引'!$A$5:$A$80,C80,'07数值索引'!$F$5:$F$80)</f>
        <v>-1</v>
      </c>
      <c r="R80" s="26">
        <f>SUMIF('07数值索引'!$A$5:$A$80,C80,'07数值索引'!$G$5:$G$80)</f>
        <v>2</v>
      </c>
      <c r="S80" s="26">
        <f>SUMIF('07数值索引'!$A$5:$A$80,C80,'07数值索引'!$M$5:$M$80)</f>
        <v>1</v>
      </c>
      <c r="T80" s="26">
        <f>SUMIF('07数值索引'!$A$5:$A$80,C80,'07数值索引'!$H$5:$H$80)</f>
        <v>0</v>
      </c>
      <c r="U80" s="26">
        <f>SUMIF('07数值索引'!$A$5:$A$80,C80,'07数值索引'!$I$5:$I$80)</f>
        <v>0</v>
      </c>
      <c r="V80" s="26">
        <f>SUMIF('07数值索引'!$A$5:$A$80,C80,'07数值索引'!$J$5:$J$80)</f>
        <v>0</v>
      </c>
    </row>
    <row r="81" ht="14.5" spans="1:22">
      <c r="A81" s="24" t="s">
        <v>684</v>
      </c>
      <c r="B81" s="25">
        <v>5</v>
      </c>
      <c r="C81" s="26" t="s">
        <v>179</v>
      </c>
      <c r="D81" s="26" t="str">
        <f>IFERROR(VLOOKUP(C81,'07数值索引'!$A$5:$S$80,19,FALSE),"未找到事件")</f>
        <v>只承认与万清教有关</v>
      </c>
      <c r="E81" s="25">
        <f>SUMIFS($O$5:O80,$A$5:$A80,A81)</f>
        <v>0</v>
      </c>
      <c r="F81" s="25">
        <f>SUMIFS($P$5:P80,$A$5:$A80,A81)</f>
        <v>3</v>
      </c>
      <c r="G81" s="25">
        <f>SUMIFS($Q$5:Q80,$A$5:$A80,A81)</f>
        <v>-1</v>
      </c>
      <c r="H81" s="25">
        <f>SUMIFS($R$5:R80,$A$5:$A80,A81)</f>
        <v>4</v>
      </c>
      <c r="I81" s="25">
        <f>SUMIFS($S$5:S80,$A$5:$A80,A81)</f>
        <v>1</v>
      </c>
      <c r="J81" s="25">
        <f>SUMIFS($T$5:T80,$A$5:$A80,A81)</f>
        <v>0</v>
      </c>
      <c r="K81" s="25">
        <f>SUMIFS($U$5:U80,$A$5:$A80,A81)</f>
        <v>0</v>
      </c>
      <c r="L81" s="25">
        <f>SUMIFS($V$5:V80,$A$5:$A80,A81)</f>
        <v>0</v>
      </c>
      <c r="M81" s="27" t="s">
        <v>723</v>
      </c>
      <c r="N81" s="26" t="str">
        <f>IF(COUNTIF('07数值索引'!$A$5:$A$80,C81)=1,"PASS","CHECK")</f>
        <v>PASS</v>
      </c>
      <c r="O81" s="26">
        <f>SUMIF('07数值索引'!$A$5:$A$80,C81,'07数值索引'!$D$5:$D$80)</f>
        <v>0</v>
      </c>
      <c r="P81" s="26">
        <f>SUMIF('07数值索引'!$A$5:$A$80,C81,'07数值索引'!$E$5:$E$80)</f>
        <v>0</v>
      </c>
      <c r="Q81" s="26">
        <f>SUMIF('07数值索引'!$A$5:$A$80,C81,'07数值索引'!$F$5:$F$80)</f>
        <v>-1</v>
      </c>
      <c r="R81" s="26">
        <f>SUMIF('07数值索引'!$A$5:$A$80,C81,'07数值索引'!$G$5:$G$80)</f>
        <v>0</v>
      </c>
      <c r="S81" s="26">
        <f>SUMIF('07数值索引'!$A$5:$A$80,C81,'07数值索引'!$M$5:$M$80)</f>
        <v>0</v>
      </c>
      <c r="T81" s="26">
        <f>SUMIF('07数值索引'!$A$5:$A$80,C81,'07数值索引'!$H$5:$H$80)</f>
        <v>0</v>
      </c>
      <c r="U81" s="26">
        <f>SUMIF('07数值索引'!$A$5:$A$80,C81,'07数值索引'!$I$5:$I$80)</f>
        <v>0</v>
      </c>
      <c r="V81" s="26">
        <f>SUMIF('07数值索引'!$A$5:$A$80,C81,'07数值索引'!$J$5:$J$80)</f>
        <v>0</v>
      </c>
    </row>
    <row r="82" ht="14.5" spans="1:22">
      <c r="A82" s="24" t="s">
        <v>684</v>
      </c>
      <c r="B82" s="25">
        <v>6</v>
      </c>
      <c r="C82" s="26" t="s">
        <v>197</v>
      </c>
      <c r="D82" s="26" t="str">
        <f>IFERROR(VLOOKUP(C82,'07数值索引'!$A$5:$S$80,19,FALSE),"未找到事件")</f>
        <v>承认说过，但强调自己不知道会死人</v>
      </c>
      <c r="E82" s="25">
        <f>SUMIFS($O$5:O81,$A$5:$A81,A82)</f>
        <v>0</v>
      </c>
      <c r="F82" s="25">
        <f>SUMIFS($P$5:P81,$A$5:$A81,A82)</f>
        <v>3</v>
      </c>
      <c r="G82" s="25">
        <f>SUMIFS($Q$5:Q81,$A$5:$A81,A82)</f>
        <v>-2</v>
      </c>
      <c r="H82" s="25">
        <f>SUMIFS($R$5:R81,$A$5:$A81,A82)</f>
        <v>4</v>
      </c>
      <c r="I82" s="25">
        <f>SUMIFS($S$5:S81,$A$5:$A81,A82)</f>
        <v>1</v>
      </c>
      <c r="J82" s="25">
        <f>SUMIFS($T$5:T81,$A$5:$A81,A82)</f>
        <v>0</v>
      </c>
      <c r="K82" s="25">
        <f>SUMIFS($U$5:U81,$A$5:$A81,A82)</f>
        <v>0</v>
      </c>
      <c r="L82" s="25">
        <f>SUMIFS($V$5:V81,$A$5:$A81,A82)</f>
        <v>0</v>
      </c>
      <c r="M82" s="27" t="s">
        <v>723</v>
      </c>
      <c r="N82" s="26" t="str">
        <f>IF(COUNTIF('07数值索引'!$A$5:$A$80,C82)=1,"PASS","CHECK")</f>
        <v>PASS</v>
      </c>
      <c r="O82" s="26">
        <f>SUMIF('07数值索引'!$A$5:$A$80,C82,'07数值索引'!$D$5:$D$80)</f>
        <v>0</v>
      </c>
      <c r="P82" s="26">
        <f>SUMIF('07数值索引'!$A$5:$A$80,C82,'07数值索引'!$E$5:$E$80)</f>
        <v>0</v>
      </c>
      <c r="Q82" s="26">
        <f>SUMIF('07数值索引'!$A$5:$A$80,C82,'07数值索引'!$F$5:$F$80)</f>
        <v>-1</v>
      </c>
      <c r="R82" s="26">
        <f>SUMIF('07数值索引'!$A$5:$A$80,C82,'07数值索引'!$G$5:$G$80)</f>
        <v>0</v>
      </c>
      <c r="S82" s="26">
        <f>SUMIF('07数值索引'!$A$5:$A$80,C82,'07数值索引'!$M$5:$M$80)</f>
        <v>0</v>
      </c>
      <c r="T82" s="26">
        <f>SUMIF('07数值索引'!$A$5:$A$80,C82,'07数值索引'!$H$5:$H$80)</f>
        <v>0</v>
      </c>
      <c r="U82" s="26">
        <f>SUMIF('07数值索引'!$A$5:$A$80,C82,'07数值索引'!$I$5:$I$80)</f>
        <v>0</v>
      </c>
      <c r="V82" s="26">
        <f>SUMIF('07数值索引'!$A$5:$A$80,C82,'07数值索引'!$J$5:$J$80)</f>
        <v>0</v>
      </c>
    </row>
    <row r="83" ht="14.5" spans="1:22">
      <c r="A83" s="24" t="s">
        <v>684</v>
      </c>
      <c r="B83" s="25">
        <v>7</v>
      </c>
      <c r="C83" s="26" t="s">
        <v>450</v>
      </c>
      <c r="D83" s="26" t="str">
        <f>IFERROR(VLOOKUP(C83,'07数值索引'!$A$5:$S$80,19,FALSE),"未找到事件")</f>
        <v>阿芸亲自公开账簿；证据公开，但解释权仍集中在她口中</v>
      </c>
      <c r="E83" s="25">
        <f>SUMIFS($O$5:O82,$A$5:$A82,A83)</f>
        <v>0</v>
      </c>
      <c r="F83" s="25">
        <f>SUMIFS($P$5:P82,$A$5:$A82,A83)</f>
        <v>3</v>
      </c>
      <c r="G83" s="25">
        <f>SUMIFS($Q$5:Q82,$A$5:$A82,A83)</f>
        <v>-3</v>
      </c>
      <c r="H83" s="25">
        <f>SUMIFS($R$5:R82,$A$5:$A82,A83)</f>
        <v>4</v>
      </c>
      <c r="I83" s="25">
        <f>SUMIFS($S$5:S82,$A$5:$A82,A83)</f>
        <v>1</v>
      </c>
      <c r="J83" s="25">
        <f>SUMIFS($T$5:T82,$A$5:$A82,A83)</f>
        <v>0</v>
      </c>
      <c r="K83" s="25">
        <f>SUMIFS($U$5:U82,$A$5:$A82,A83)</f>
        <v>0</v>
      </c>
      <c r="L83" s="25">
        <f>SUMIFS($V$5:V82,$A$5:$A82,A83)</f>
        <v>0</v>
      </c>
      <c r="M83" s="27" t="s">
        <v>723</v>
      </c>
      <c r="N83" s="26" t="str">
        <f>IF(COUNTIF('07数值索引'!$A$5:$A$80,C83)=1,"PASS","CHECK")</f>
        <v>PASS</v>
      </c>
      <c r="O83" s="26">
        <f>SUMIF('07数值索引'!$A$5:$A$80,C83,'07数值索引'!$D$5:$D$80)</f>
        <v>1</v>
      </c>
      <c r="P83" s="26">
        <f>SUMIF('07数值索引'!$A$5:$A$80,C83,'07数值索引'!$E$5:$E$80)</f>
        <v>2</v>
      </c>
      <c r="Q83" s="26">
        <f>SUMIF('07数值索引'!$A$5:$A$80,C83,'07数值索引'!$F$5:$F$80)</f>
        <v>0</v>
      </c>
      <c r="R83" s="26">
        <f>SUMIF('07数值索引'!$A$5:$A$80,C83,'07数值索引'!$G$5:$G$80)</f>
        <v>1</v>
      </c>
      <c r="S83" s="26">
        <f>SUMIF('07数值索引'!$A$5:$A$80,C83,'07数值索引'!$M$5:$M$80)</f>
        <v>0</v>
      </c>
      <c r="T83" s="26">
        <f>SUMIF('07数值索引'!$A$5:$A$80,C83,'07数值索引'!$H$5:$H$80)</f>
        <v>1</v>
      </c>
      <c r="U83" s="26">
        <f>SUMIF('07数值索引'!$A$5:$A$80,C83,'07数值索引'!$I$5:$I$80)</f>
        <v>0</v>
      </c>
      <c r="V83" s="26">
        <f>SUMIF('07数值索引'!$A$5:$A$80,C83,'07数值索引'!$J$5:$J$80)</f>
        <v>0</v>
      </c>
    </row>
    <row r="84" ht="14.5" spans="1:22">
      <c r="A84" s="24" t="s">
        <v>684</v>
      </c>
      <c r="B84" s="25">
        <v>8</v>
      </c>
      <c r="C84" s="26" t="s">
        <v>464</v>
      </c>
      <c r="D84" s="26" t="str">
        <f>IFERROR(VLOOKUP(C84,'07数值索引'!$A$5:$S$80,19,FALSE),"未找到事件")</f>
        <v>真相公开，但解释权仍集中在圣女口中</v>
      </c>
      <c r="E84" s="25">
        <f>SUMIFS($O$5:O83,$A$5:$A83,A84)</f>
        <v>1</v>
      </c>
      <c r="F84" s="25">
        <f>SUMIFS($P$5:P83,$A$5:$A83,A84)</f>
        <v>5</v>
      </c>
      <c r="G84" s="25">
        <f>SUMIFS($Q$5:Q83,$A$5:$A83,A84)</f>
        <v>-3</v>
      </c>
      <c r="H84" s="25">
        <f>SUMIFS($R$5:R83,$A$5:$A83,A84)</f>
        <v>5</v>
      </c>
      <c r="I84" s="25">
        <f>SUMIFS($S$5:S83,$A$5:$A83,A84)</f>
        <v>1</v>
      </c>
      <c r="J84" s="25">
        <f>SUMIFS($T$5:T83,$A$5:$A83,A84)</f>
        <v>1</v>
      </c>
      <c r="K84" s="25">
        <f>SUMIFS($U$5:U83,$A$5:$A83,A84)</f>
        <v>0</v>
      </c>
      <c r="L84" s="25">
        <f>SUMIFS($V$5:V83,$A$5:$A83,A84)</f>
        <v>0</v>
      </c>
      <c r="M84" s="27" t="s">
        <v>723</v>
      </c>
      <c r="N84" s="26" t="str">
        <f>IF(COUNTIF('07数值索引'!$A$5:$A$80,C84)=1,"PASS","CHECK")</f>
        <v>PASS</v>
      </c>
      <c r="O84" s="26">
        <f>SUMIF('07数值索引'!$A$5:$A$80,C84,'07数值索引'!$D$5:$D$80)</f>
        <v>0</v>
      </c>
      <c r="P84" s="26">
        <f>SUMIF('07数值索引'!$A$5:$A$80,C84,'07数值索引'!$E$5:$E$80)</f>
        <v>2</v>
      </c>
      <c r="Q84" s="26">
        <f>SUMIF('07数值索引'!$A$5:$A$80,C84,'07数值索引'!$F$5:$F$80)</f>
        <v>0</v>
      </c>
      <c r="R84" s="26">
        <f>SUMIF('07数值索引'!$A$5:$A$80,C84,'07数值索引'!$G$5:$G$80)</f>
        <v>1</v>
      </c>
      <c r="S84" s="26">
        <f>SUMIF('07数值索引'!$A$5:$A$80,C84,'07数值索引'!$M$5:$M$80)</f>
        <v>0</v>
      </c>
      <c r="T84" s="26">
        <f>SUMIF('07数值索引'!$A$5:$A$80,C84,'07数值索引'!$H$5:$H$80)</f>
        <v>1</v>
      </c>
      <c r="U84" s="26">
        <f>SUMIF('07数值索引'!$A$5:$A$80,C84,'07数值索引'!$I$5:$I$80)</f>
        <v>0</v>
      </c>
      <c r="V84" s="26">
        <f>SUMIF('07数值索引'!$A$5:$A$80,C84,'07数值索引'!$J$5:$J$80)</f>
        <v>0</v>
      </c>
    </row>
    <row r="85" ht="14.5" spans="1:22">
      <c r="A85" s="24" t="s">
        <v>684</v>
      </c>
      <c r="B85" s="25">
        <v>9</v>
      </c>
      <c r="C85" s="26" t="s">
        <v>473</v>
      </c>
      <c r="D85" s="26" t="str">
        <f>IFERROR(VLOOKUP(C85,'07数值索引'!$A$5:$S$80,19,FALSE),"未找到事件")</f>
        <v>救助人数多，但公开行动提高追捕压力</v>
      </c>
      <c r="E85" s="25">
        <f>SUMIFS($O$5:O84,$A$5:$A84,A85)</f>
        <v>1</v>
      </c>
      <c r="F85" s="25">
        <f>SUMIFS($P$5:P84,$A$5:$A84,A85)</f>
        <v>7</v>
      </c>
      <c r="G85" s="25">
        <f>SUMIFS($Q$5:Q84,$A$5:$A84,A85)</f>
        <v>-3</v>
      </c>
      <c r="H85" s="25">
        <f>SUMIFS($R$5:R84,$A$5:$A84,A85)</f>
        <v>6</v>
      </c>
      <c r="I85" s="25">
        <f>SUMIFS($S$5:S84,$A$5:$A84,A85)</f>
        <v>1</v>
      </c>
      <c r="J85" s="25">
        <f>SUMIFS($T$5:T84,$A$5:$A84,A85)</f>
        <v>2</v>
      </c>
      <c r="K85" s="25">
        <f>SUMIFS($U$5:U84,$A$5:$A84,A85)</f>
        <v>0</v>
      </c>
      <c r="L85" s="25">
        <f>SUMIFS($V$5:V84,$A$5:$A84,A85)</f>
        <v>0</v>
      </c>
      <c r="M85" s="27" t="s">
        <v>723</v>
      </c>
      <c r="N85" s="26" t="str">
        <f>IF(COUNTIF('07数值索引'!$A$5:$A$80,C85)=1,"PASS","CHECK")</f>
        <v>PASS</v>
      </c>
      <c r="O85" s="26">
        <f>SUMIF('07数值索引'!$A$5:$A$80,C85,'07数值索引'!$D$5:$D$80)</f>
        <v>2</v>
      </c>
      <c r="P85" s="26">
        <f>SUMIF('07数值索引'!$A$5:$A$80,C85,'07数值索引'!$E$5:$E$80)</f>
        <v>0</v>
      </c>
      <c r="Q85" s="26">
        <f>SUMIF('07数值索引'!$A$5:$A$80,C85,'07数值索引'!$F$5:$F$80)</f>
        <v>0</v>
      </c>
      <c r="R85" s="26">
        <f>SUMIF('07数值索引'!$A$5:$A$80,C85,'07数值索引'!$G$5:$G$80)</f>
        <v>1</v>
      </c>
      <c r="S85" s="26">
        <f>SUMIF('07数值索引'!$A$5:$A$80,C85,'07数值索引'!$M$5:$M$80)</f>
        <v>0</v>
      </c>
      <c r="T85" s="26">
        <f>SUMIF('07数值索引'!$A$5:$A$80,C85,'07数值索引'!$H$5:$H$80)</f>
        <v>0</v>
      </c>
      <c r="U85" s="26">
        <f>SUMIF('07数值索引'!$A$5:$A$80,C85,'07数值索引'!$I$5:$I$80)</f>
        <v>0</v>
      </c>
      <c r="V85" s="26">
        <f>SUMIF('07数值索引'!$A$5:$A$80,C85,'07数值索引'!$J$5:$J$80)</f>
        <v>0</v>
      </c>
    </row>
    <row r="86" ht="14.5" spans="1:22">
      <c r="A86" s="24" t="s">
        <v>684</v>
      </c>
      <c r="B86" s="25">
        <v>10</v>
      </c>
      <c r="C86" s="26" t="s">
        <v>484</v>
      </c>
      <c r="D86" s="26" t="str">
        <f>IFERROR(VLOOKUP(C86,'07数值索引'!$A$5:$S$80,19,FALSE),"未找到事件")</f>
        <v>调动信众并重新坐回丝线中央</v>
      </c>
      <c r="E86" s="25">
        <f>SUMIFS($O$5:O85,$A$5:$A85,A86)</f>
        <v>3</v>
      </c>
      <c r="F86" s="25">
        <f>SUMIFS($P$5:P85,$A$5:$A85,A86)</f>
        <v>7</v>
      </c>
      <c r="G86" s="25">
        <f>SUMIFS($Q$5:Q85,$A$5:$A85,A86)</f>
        <v>-3</v>
      </c>
      <c r="H86" s="25">
        <f>SUMIFS($R$5:R85,$A$5:$A85,A86)</f>
        <v>7</v>
      </c>
      <c r="I86" s="25">
        <f>SUMIFS($S$5:S85,$A$5:$A85,A86)</f>
        <v>1</v>
      </c>
      <c r="J86" s="25">
        <f>SUMIFS($T$5:T85,$A$5:$A85,A86)</f>
        <v>2</v>
      </c>
      <c r="K86" s="25">
        <f>SUMIFS($U$5:U85,$A$5:$A85,A86)</f>
        <v>0</v>
      </c>
      <c r="L86" s="25">
        <f>SUMIFS($V$5:V85,$A$5:$A85,A86)</f>
        <v>0</v>
      </c>
      <c r="M86" s="27" t="s">
        <v>723</v>
      </c>
      <c r="N86" s="26" t="str">
        <f>IF(COUNTIF('07数值索引'!$A$5:$A$80,C86)=1,"PASS","CHECK")</f>
        <v>PASS</v>
      </c>
      <c r="O86" s="26">
        <f>SUMIF('07数值索引'!$A$5:$A$80,C86,'07数值索引'!$D$5:$D$80)</f>
        <v>0</v>
      </c>
      <c r="P86" s="26">
        <f>SUMIF('07数值索引'!$A$5:$A$80,C86,'07数值索引'!$E$5:$E$80)</f>
        <v>3</v>
      </c>
      <c r="Q86" s="26">
        <f>SUMIF('07数值索引'!$A$5:$A$80,C86,'07数值索引'!$F$5:$F$80)</f>
        <v>-2</v>
      </c>
      <c r="R86" s="26">
        <f>SUMIF('07数值索引'!$A$5:$A$80,C86,'07数值索引'!$G$5:$G$80)</f>
        <v>0</v>
      </c>
      <c r="S86" s="26">
        <f>SUMIF('07数值索引'!$A$5:$A$80,C86,'07数值索引'!$M$5:$M$80)</f>
        <v>0</v>
      </c>
      <c r="T86" s="26">
        <f>SUMIF('07数值索引'!$A$5:$A$80,C86,'07数值索引'!$H$5:$H$80)</f>
        <v>0</v>
      </c>
      <c r="U86" s="26">
        <f>SUMIF('07数值索引'!$A$5:$A$80,C86,'07数值索引'!$I$5:$I$80)</f>
        <v>0</v>
      </c>
      <c r="V86" s="26">
        <f>SUMIF('07数值索引'!$A$5:$A$80,C86,'07数值索引'!$J$5:$J$80)</f>
        <v>0</v>
      </c>
    </row>
    <row r="87" ht="29" spans="1:22">
      <c r="A87" s="24" t="s">
        <v>684</v>
      </c>
      <c r="B87" s="25">
        <v>11</v>
      </c>
      <c r="C87" s="26" t="s">
        <v>636</v>
      </c>
      <c r="D87" s="26" t="str">
        <f>IFERROR(VLOOKUP(C87,'07数值索引'!$A$5:$S$80,19,FALSE),"未找到事件")</f>
        <v>阿禾中信任时只带证据离开，不共享撤离路线；魏先在阿芸离开前截住她</v>
      </c>
      <c r="E87" s="25">
        <f>SUMIFS($O$5:O86,$A$5:$A86,A87)</f>
        <v>3</v>
      </c>
      <c r="F87" s="25">
        <f>SUMIFS($P$5:P86,$A$5:$A86,A87)</f>
        <v>10</v>
      </c>
      <c r="G87" s="25">
        <f>SUMIFS($Q$5:Q86,$A$5:$A86,A87)</f>
        <v>-5</v>
      </c>
      <c r="H87" s="25">
        <f>SUMIFS($R$5:R86,$A$5:$A86,A87)</f>
        <v>7</v>
      </c>
      <c r="I87" s="25">
        <f>SUMIFS($S$5:S86,$A$5:$A86,A87)</f>
        <v>1</v>
      </c>
      <c r="J87" s="25">
        <f>SUMIFS($T$5:T86,$A$5:$A86,A87)</f>
        <v>2</v>
      </c>
      <c r="K87" s="25">
        <f>SUMIFS($U$5:U86,$A$5:$A86,A87)</f>
        <v>0</v>
      </c>
      <c r="L87" s="25">
        <f>SUMIFS($V$5:V86,$A$5:$A86,A87)</f>
        <v>0</v>
      </c>
      <c r="M87" s="27" t="s">
        <v>723</v>
      </c>
      <c r="N87" s="26" t="str">
        <f>IF(COUNTIF('07数值索引'!$A$5:$A$80,C87)=1,"PASS","CHECK")</f>
        <v>PASS</v>
      </c>
      <c r="O87" s="26">
        <f>SUMIF('07数值索引'!$A$5:$A$80,C87,'07数值索引'!$D$5:$D$80)</f>
        <v>0</v>
      </c>
      <c r="P87" s="26">
        <f>SUMIF('07数值索引'!$A$5:$A$80,C87,'07数值索引'!$E$5:$E$80)</f>
        <v>0</v>
      </c>
      <c r="Q87" s="26">
        <f>SUMIF('07数值索引'!$A$5:$A$80,C87,'07数值索引'!$F$5:$F$80)</f>
        <v>0</v>
      </c>
      <c r="R87" s="26">
        <f>SUMIF('07数值索引'!$A$5:$A$80,C87,'07数值索引'!$G$5:$G$80)</f>
        <v>2</v>
      </c>
      <c r="S87" s="26">
        <f>SUMIF('07数值索引'!$A$5:$A$80,C87,'07数值索引'!$M$5:$M$80)</f>
        <v>0</v>
      </c>
      <c r="T87" s="26">
        <f>SUMIF('07数值索引'!$A$5:$A$80,C87,'07数值索引'!$H$5:$H$80)</f>
        <v>0</v>
      </c>
      <c r="U87" s="26">
        <f>SUMIF('07数值索引'!$A$5:$A$80,C87,'07数值索引'!$I$5:$I$80)</f>
        <v>0</v>
      </c>
      <c r="V87" s="26">
        <f>SUMIF('07数值索引'!$A$5:$A$80,C87,'07数值索引'!$J$5:$J$80)</f>
        <v>0</v>
      </c>
    </row>
    <row r="88" ht="14.5" spans="1:22">
      <c r="A88" s="24" t="s">
        <v>684</v>
      </c>
      <c r="B88" s="25">
        <v>12</v>
      </c>
      <c r="C88" s="26" t="s">
        <v>218</v>
      </c>
      <c r="D88" s="26" t="str">
        <f>IFERROR(VLOOKUP(C88,'07数值索引'!$A$5:$S$80,19,FALSE),"未找到事件")</f>
        <v>佩印并以神谕宣布魏先背叛神意</v>
      </c>
      <c r="E88" s="25">
        <f>SUMIFS($O$5:O87,$A$5:$A87,A88)</f>
        <v>3</v>
      </c>
      <c r="F88" s="25">
        <f>SUMIFS($P$5:P87,$A$5:$A87,A88)</f>
        <v>10</v>
      </c>
      <c r="G88" s="25">
        <f>SUMIFS($Q$5:Q87,$A$5:$A87,A88)</f>
        <v>-5</v>
      </c>
      <c r="H88" s="25">
        <f>SUMIFS($R$5:R87,$A$5:$A87,A88)</f>
        <v>9</v>
      </c>
      <c r="I88" s="25">
        <f>SUMIFS($S$5:S87,$A$5:$A87,A88)</f>
        <v>1</v>
      </c>
      <c r="J88" s="25">
        <f>SUMIFS($T$5:T87,$A$5:$A87,A88)</f>
        <v>2</v>
      </c>
      <c r="K88" s="25">
        <f>SUMIFS($U$5:U87,$A$5:$A87,A88)</f>
        <v>0</v>
      </c>
      <c r="L88" s="25">
        <f>SUMIFS($V$5:V87,$A$5:$A87,A88)</f>
        <v>0</v>
      </c>
      <c r="M88" s="27" t="s">
        <v>727</v>
      </c>
      <c r="N88" s="26" t="str">
        <f>IF(AND(COUNTIF('07数值索引'!$A$5:$A$80,C88)=1,COUNTIFS($A$5:$A87,A88,$C$5:$C87,"K-SEAL-WEAR")&gt;0),"PASS","CHECK")</f>
        <v>PASS</v>
      </c>
      <c r="O88" s="26">
        <f>SUMIF('07数值索引'!$A$5:$A$80,C88,'07数值索引'!$D$5:$D$80)</f>
        <v>0</v>
      </c>
      <c r="P88" s="26">
        <f>SUMIF('07数值索引'!$A$5:$A$80,C88,'07数值索引'!$E$5:$E$80)</f>
        <v>3</v>
      </c>
      <c r="Q88" s="26">
        <f>SUMIF('07数值索引'!$A$5:$A$80,C88,'07数值索引'!$F$5:$F$80)</f>
        <v>0</v>
      </c>
      <c r="R88" s="26">
        <f>SUMIF('07数值索引'!$A$5:$A$80,C88,'07数值索引'!$G$5:$G$80)</f>
        <v>2</v>
      </c>
      <c r="S88" s="26">
        <f>SUMIF('07数值索引'!$A$5:$A$80,C88,'07数值索引'!$M$5:$M$80)</f>
        <v>0</v>
      </c>
      <c r="T88" s="26">
        <f>SUMIF('07数值索引'!$A$5:$A$80,C88,'07数值索引'!$H$5:$H$80)</f>
        <v>0</v>
      </c>
      <c r="U88" s="26">
        <f>SUMIF('07数值索引'!$A$5:$A$80,C88,'07数值索引'!$I$5:$I$80)</f>
        <v>0</v>
      </c>
      <c r="V88" s="26">
        <f>SUMIF('07数值索引'!$A$5:$A$80,C88,'07数值索引'!$J$5:$J$80)</f>
        <v>0</v>
      </c>
    </row>
    <row r="89" ht="14.5" spans="1:22">
      <c r="A89" s="24" t="s">
        <v>687</v>
      </c>
      <c r="B89" s="25">
        <v>1</v>
      </c>
      <c r="C89" s="26" t="s">
        <v>582</v>
      </c>
      <c r="D89" s="26" t="str">
        <f>IFERROR(VLOOKUP(C89,'07数值索引'!$A$5:$S$80,19,FALSE),"未找到事件")</f>
        <v>阿禾因救人而保留最低限度善意；追兵已在沿河搜索</v>
      </c>
      <c r="E89" s="25">
        <f t="shared" ref="E89:L89" si="8">0</f>
        <v>0</v>
      </c>
      <c r="F89" s="25">
        <f t="shared" si="8"/>
        <v>0</v>
      </c>
      <c r="G89" s="25">
        <f t="shared" si="8"/>
        <v>0</v>
      </c>
      <c r="H89" s="25">
        <f t="shared" si="8"/>
        <v>0</v>
      </c>
      <c r="I89" s="25">
        <f t="shared" si="8"/>
        <v>0</v>
      </c>
      <c r="J89" s="25">
        <f t="shared" si="8"/>
        <v>0</v>
      </c>
      <c r="K89" s="25">
        <f t="shared" si="8"/>
        <v>0</v>
      </c>
      <c r="L89" s="25">
        <f t="shared" si="8"/>
        <v>0</v>
      </c>
      <c r="M89" s="27" t="s">
        <v>723</v>
      </c>
      <c r="N89" s="26" t="str">
        <f>IF(COUNTIF('07数值索引'!$A$5:$A$80,C89)=1,"PASS","CHECK")</f>
        <v>PASS</v>
      </c>
      <c r="O89" s="26">
        <f>SUMIF('07数值索引'!$A$5:$A$80,C89,'07数值索引'!$D$5:$D$80)</f>
        <v>0</v>
      </c>
      <c r="P89" s="26">
        <f>SUMIF('07数值索引'!$A$5:$A$80,C89,'07数值索引'!$E$5:$E$80)</f>
        <v>0</v>
      </c>
      <c r="Q89" s="26">
        <f>SUMIF('07数值索引'!$A$5:$A$80,C89,'07数值索引'!$F$5:$F$80)</f>
        <v>1</v>
      </c>
      <c r="R89" s="26">
        <f>SUMIF('07数值索引'!$A$5:$A$80,C89,'07数值索引'!$G$5:$G$80)</f>
        <v>1</v>
      </c>
      <c r="S89" s="26">
        <f>SUMIF('07数值索引'!$A$5:$A$80,C89,'07数值索引'!$M$5:$M$80)</f>
        <v>0</v>
      </c>
      <c r="T89" s="26">
        <f>SUMIF('07数值索引'!$A$5:$A$80,C89,'07数值索引'!$H$5:$H$80)</f>
        <v>0</v>
      </c>
      <c r="U89" s="26">
        <f>SUMIF('07数值索引'!$A$5:$A$80,C89,'07数值索引'!$I$5:$I$80)</f>
        <v>0</v>
      </c>
      <c r="V89" s="26">
        <f>SUMIF('07数值索引'!$A$5:$A$80,C89,'07数值索引'!$J$5:$J$80)</f>
        <v>0</v>
      </c>
    </row>
    <row r="90" ht="14.5" spans="1:22">
      <c r="A90" s="24" t="s">
        <v>687</v>
      </c>
      <c r="B90" s="25">
        <v>2</v>
      </c>
      <c r="C90" s="26" t="s">
        <v>150</v>
      </c>
      <c r="D90" s="26" t="str">
        <f>IFERROR(VLOOKUP(C90,'07数值索引'!$A$5:$S$80,19,FALSE),"未找到事件")</f>
        <v>否认追兵存在；阿禾暗中观察</v>
      </c>
      <c r="E90" s="25">
        <f>SUMIFS($O$5:O89,$A$5:$A89,A90)</f>
        <v>0</v>
      </c>
      <c r="F90" s="25">
        <f>SUMIFS($P$5:P89,$A$5:$A89,A90)</f>
        <v>0</v>
      </c>
      <c r="G90" s="25">
        <f>SUMIFS($Q$5:Q89,$A$5:$A89,A90)</f>
        <v>1</v>
      </c>
      <c r="H90" s="25">
        <f>SUMIFS($R$5:R89,$A$5:$A89,A90)</f>
        <v>1</v>
      </c>
      <c r="I90" s="25">
        <f>SUMIFS($S$5:S89,$A$5:$A89,A90)</f>
        <v>0</v>
      </c>
      <c r="J90" s="25">
        <f>SUMIFS($T$5:T89,$A$5:$A89,A90)</f>
        <v>0</v>
      </c>
      <c r="K90" s="25">
        <f>SUMIFS($U$5:U89,$A$5:$A89,A90)</f>
        <v>0</v>
      </c>
      <c r="L90" s="25">
        <f>SUMIFS($V$5:V89,$A$5:$A89,A90)</f>
        <v>0</v>
      </c>
      <c r="M90" s="27" t="s">
        <v>723</v>
      </c>
      <c r="N90" s="26" t="str">
        <f>IF(COUNTIF('07数值索引'!$A$5:$A$80,C90)=1,"PASS","CHECK")</f>
        <v>PASS</v>
      </c>
      <c r="O90" s="26">
        <f>SUMIF('07数值索引'!$A$5:$A$80,C90,'07数值索引'!$D$5:$D$80)</f>
        <v>0</v>
      </c>
      <c r="P90" s="26">
        <f>SUMIF('07数值索引'!$A$5:$A$80,C90,'07数值索引'!$E$5:$E$80)</f>
        <v>0</v>
      </c>
      <c r="Q90" s="26">
        <f>SUMIF('07数值索引'!$A$5:$A$80,C90,'07数值索引'!$F$5:$F$80)</f>
        <v>-1</v>
      </c>
      <c r="R90" s="26">
        <f>SUMIF('07数值索引'!$A$5:$A$80,C90,'07数值索引'!$G$5:$G$80)</f>
        <v>0</v>
      </c>
      <c r="S90" s="26">
        <f>SUMIF('07数值索引'!$A$5:$A$80,C90,'07数值索引'!$M$5:$M$80)</f>
        <v>0</v>
      </c>
      <c r="T90" s="26">
        <f>SUMIF('07数值索引'!$A$5:$A$80,C90,'07数值索引'!$H$5:$H$80)</f>
        <v>0</v>
      </c>
      <c r="U90" s="26">
        <f>SUMIF('07数值索引'!$A$5:$A$80,C90,'07数值索引'!$I$5:$I$80)</f>
        <v>0</v>
      </c>
      <c r="V90" s="26">
        <f>SUMIF('07数值索引'!$A$5:$A$80,C90,'07数值索引'!$J$5:$J$80)</f>
        <v>0</v>
      </c>
    </row>
    <row r="91" ht="14.5" spans="1:22">
      <c r="A91" s="24" t="s">
        <v>687</v>
      </c>
      <c r="B91" s="25">
        <v>3</v>
      </c>
      <c r="C91" s="26" t="s">
        <v>165</v>
      </c>
      <c r="D91" s="26" t="str">
        <f>IFERROR(VLOOKUP(C91,'07数值索引'!$A$5:$S$80,19,FALSE),"未找到事件")</f>
        <v>追问旧法会，保留判断</v>
      </c>
      <c r="E91" s="25">
        <f>SUMIFS($O$5:O90,$A$5:$A90,A91)</f>
        <v>0</v>
      </c>
      <c r="F91" s="25">
        <f>SUMIFS($P$5:P90,$A$5:$A90,A91)</f>
        <v>0</v>
      </c>
      <c r="G91" s="25">
        <f>SUMIFS($Q$5:Q90,$A$5:$A90,A91)</f>
        <v>0</v>
      </c>
      <c r="H91" s="25">
        <f>SUMIFS($R$5:R90,$A$5:$A90,A91)</f>
        <v>1</v>
      </c>
      <c r="I91" s="25">
        <f>SUMIFS($S$5:S90,$A$5:$A90,A91)</f>
        <v>0</v>
      </c>
      <c r="J91" s="25">
        <f>SUMIFS($T$5:T90,$A$5:$A90,A91)</f>
        <v>0</v>
      </c>
      <c r="K91" s="25">
        <f>SUMIFS($U$5:U90,$A$5:$A90,A91)</f>
        <v>0</v>
      </c>
      <c r="L91" s="25">
        <f>SUMIFS($V$5:V90,$A$5:$A90,A91)</f>
        <v>0</v>
      </c>
      <c r="M91" s="27" t="s">
        <v>723</v>
      </c>
      <c r="N91" s="26" t="str">
        <f>IF(COUNTIF('07数值索引'!$A$5:$A$80,C91)=1,"PASS","CHECK")</f>
        <v>PASS</v>
      </c>
      <c r="O91" s="26">
        <f>SUMIF('07数值索引'!$A$5:$A$80,C91,'07数值索引'!$D$5:$D$80)</f>
        <v>0</v>
      </c>
      <c r="P91" s="26">
        <f>SUMIF('07数值索引'!$A$5:$A$80,C91,'07数值索引'!$E$5:$E$80)</f>
        <v>0</v>
      </c>
      <c r="Q91" s="26">
        <f>SUMIF('07数值索引'!$A$5:$A$80,C91,'07数值索引'!$F$5:$F$80)</f>
        <v>0</v>
      </c>
      <c r="R91" s="26">
        <f>SUMIF('07数值索引'!$A$5:$A$80,C91,'07数值索引'!$G$5:$G$80)</f>
        <v>0</v>
      </c>
      <c r="S91" s="26">
        <f>SUMIF('07数值索引'!$A$5:$A$80,C91,'07数值索引'!$M$5:$M$80)</f>
        <v>0</v>
      </c>
      <c r="T91" s="26">
        <f>SUMIF('07数值索引'!$A$5:$A$80,C91,'07数值索引'!$H$5:$H$80)</f>
        <v>0</v>
      </c>
      <c r="U91" s="26">
        <f>SUMIF('07数值索引'!$A$5:$A$80,C91,'07数值索引'!$I$5:$I$80)</f>
        <v>0</v>
      </c>
      <c r="V91" s="26">
        <f>SUMIF('07数值索引'!$A$5:$A$80,C91,'07数值索引'!$J$5:$J$80)</f>
        <v>0</v>
      </c>
    </row>
    <row r="92" ht="14.5" spans="1:22">
      <c r="A92" s="24" t="s">
        <v>687</v>
      </c>
      <c r="B92" s="25">
        <v>4</v>
      </c>
      <c r="C92" s="26" t="s">
        <v>604</v>
      </c>
      <c r="D92" s="26" t="str">
        <f>IFERROR(VLOOKUP(C92,'07数值索引'!$A$5:$S$80,19,FALSE),"未找到事件")</f>
        <v>连续失误且未离开骚乱现场，追兵在身份确认前杀死阿芸</v>
      </c>
      <c r="E92" s="25">
        <f>SUMIFS($O$5:O91,$A$5:$A91,A92)</f>
        <v>0</v>
      </c>
      <c r="F92" s="25">
        <f>SUMIFS($P$5:P91,$A$5:$A91,A92)</f>
        <v>0</v>
      </c>
      <c r="G92" s="25">
        <f>SUMIFS($Q$5:Q91,$A$5:$A91,A92)</f>
        <v>0</v>
      </c>
      <c r="H92" s="25">
        <f>SUMIFS($R$5:R91,$A$5:$A91,A92)</f>
        <v>1</v>
      </c>
      <c r="I92" s="25">
        <f>SUMIFS($S$5:S91,$A$5:$A91,A92)</f>
        <v>0</v>
      </c>
      <c r="J92" s="25">
        <f>SUMIFS($T$5:T91,$A$5:$A91,A92)</f>
        <v>0</v>
      </c>
      <c r="K92" s="25">
        <f>SUMIFS($U$5:U91,$A$5:$A91,A92)</f>
        <v>0</v>
      </c>
      <c r="L92" s="25">
        <f>SUMIFS($V$5:V91,$A$5:$A91,A92)</f>
        <v>0</v>
      </c>
      <c r="M92" s="27" t="s">
        <v>723</v>
      </c>
      <c r="N92" s="26" t="str">
        <f>IF(COUNTIF('07数值索引'!$A$5:$A$80,C92)=1,"PASS","CHECK")</f>
        <v>PASS</v>
      </c>
      <c r="O92" s="26">
        <f>SUMIF('07数值索引'!$A$5:$A$80,C92,'07数值索引'!$D$5:$D$80)</f>
        <v>0</v>
      </c>
      <c r="P92" s="26">
        <f>SUMIF('07数值索引'!$A$5:$A$80,C92,'07数值索引'!$E$5:$E$80)</f>
        <v>0</v>
      </c>
      <c r="Q92" s="26">
        <f>SUMIF('07数值索引'!$A$5:$A$80,C92,'07数值索引'!$F$5:$F$80)</f>
        <v>0</v>
      </c>
      <c r="R92" s="26">
        <f>SUMIF('07数值索引'!$A$5:$A$80,C92,'07数值索引'!$G$5:$G$80)</f>
        <v>6</v>
      </c>
      <c r="S92" s="26">
        <f>SUMIF('07数值索引'!$A$5:$A$80,C92,'07数值索引'!$M$5:$M$80)</f>
        <v>0</v>
      </c>
      <c r="T92" s="26">
        <f>SUMIF('07数值索引'!$A$5:$A$80,C92,'07数值索引'!$H$5:$H$80)</f>
        <v>0</v>
      </c>
      <c r="U92" s="26">
        <f>SUMIF('07数值索引'!$A$5:$A$80,C92,'07数值索引'!$I$5:$I$80)</f>
        <v>0</v>
      </c>
      <c r="V92" s="26">
        <f>SUMIF('07数值索引'!$A$5:$A$80,C92,'07数值索引'!$J$5:$J$80)</f>
        <v>0</v>
      </c>
    </row>
    <row r="93" ht="14.5" spans="1:22">
      <c r="A93" s="24" t="s">
        <v>691</v>
      </c>
      <c r="B93" s="25">
        <v>1</v>
      </c>
      <c r="C93" s="26" t="s">
        <v>582</v>
      </c>
      <c r="D93" s="26" t="str">
        <f>IFERROR(VLOOKUP(C93,'07数值索引'!$A$5:$S$80,19,FALSE),"未找到事件")</f>
        <v>阿禾因救人而保留最低限度善意；追兵已在沿河搜索</v>
      </c>
      <c r="E93" s="25">
        <f t="shared" ref="E93:L93" si="9">0</f>
        <v>0</v>
      </c>
      <c r="F93" s="25">
        <f t="shared" si="9"/>
        <v>0</v>
      </c>
      <c r="G93" s="25">
        <f t="shared" si="9"/>
        <v>0</v>
      </c>
      <c r="H93" s="25">
        <f t="shared" si="9"/>
        <v>0</v>
      </c>
      <c r="I93" s="25">
        <f t="shared" si="9"/>
        <v>0</v>
      </c>
      <c r="J93" s="25">
        <f t="shared" si="9"/>
        <v>0</v>
      </c>
      <c r="K93" s="25">
        <f t="shared" si="9"/>
        <v>0</v>
      </c>
      <c r="L93" s="25">
        <f t="shared" si="9"/>
        <v>0</v>
      </c>
      <c r="M93" s="27" t="s">
        <v>723</v>
      </c>
      <c r="N93" s="26" t="str">
        <f>IF(COUNTIF('07数值索引'!$A$5:$A$80,C93)=1,"PASS","CHECK")</f>
        <v>PASS</v>
      </c>
      <c r="O93" s="26">
        <f>SUMIF('07数值索引'!$A$5:$A$80,C93,'07数值索引'!$D$5:$D$80)</f>
        <v>0</v>
      </c>
      <c r="P93" s="26">
        <f>SUMIF('07数值索引'!$A$5:$A$80,C93,'07数值索引'!$E$5:$E$80)</f>
        <v>0</v>
      </c>
      <c r="Q93" s="26">
        <f>SUMIF('07数值索引'!$A$5:$A$80,C93,'07数值索引'!$F$5:$F$80)</f>
        <v>1</v>
      </c>
      <c r="R93" s="26">
        <f>SUMIF('07数值索引'!$A$5:$A$80,C93,'07数值索引'!$G$5:$G$80)</f>
        <v>1</v>
      </c>
      <c r="S93" s="26">
        <f>SUMIF('07数值索引'!$A$5:$A$80,C93,'07数值索引'!$M$5:$M$80)</f>
        <v>0</v>
      </c>
      <c r="T93" s="26">
        <f>SUMIF('07数值索引'!$A$5:$A$80,C93,'07数值索引'!$H$5:$H$80)</f>
        <v>0</v>
      </c>
      <c r="U93" s="26">
        <f>SUMIF('07数值索引'!$A$5:$A$80,C93,'07数值索引'!$I$5:$I$80)</f>
        <v>0</v>
      </c>
      <c r="V93" s="26">
        <f>SUMIF('07数值索引'!$A$5:$A$80,C93,'07数值索引'!$J$5:$J$80)</f>
        <v>0</v>
      </c>
    </row>
    <row r="94" ht="14.5" spans="1:22">
      <c r="A94" s="24" t="s">
        <v>691</v>
      </c>
      <c r="B94" s="25">
        <v>2</v>
      </c>
      <c r="C94" s="26" t="s">
        <v>155</v>
      </c>
      <c r="D94" s="26" t="str">
        <f>IFERROR(VLOOKUP(C94,'07数值索引'!$A$5:$S$80,19,FALSE),"未找到事件")</f>
        <v>试探阿禾会不会交人</v>
      </c>
      <c r="E94" s="25">
        <f>SUMIFS($O$5:O93,$A$5:$A93,A94)</f>
        <v>0</v>
      </c>
      <c r="F94" s="25">
        <f>SUMIFS($P$5:P93,$A$5:$A93,A94)</f>
        <v>0</v>
      </c>
      <c r="G94" s="25">
        <f>SUMIFS($Q$5:Q93,$A$5:$A93,A94)</f>
        <v>1</v>
      </c>
      <c r="H94" s="25">
        <f>SUMIFS($R$5:R93,$A$5:$A93,A94)</f>
        <v>1</v>
      </c>
      <c r="I94" s="25">
        <f>SUMIFS($S$5:S93,$A$5:$A93,A94)</f>
        <v>0</v>
      </c>
      <c r="J94" s="25">
        <f>SUMIFS($T$5:T93,$A$5:$A93,A94)</f>
        <v>0</v>
      </c>
      <c r="K94" s="25">
        <f>SUMIFS($U$5:U93,$A$5:$A93,A94)</f>
        <v>0</v>
      </c>
      <c r="L94" s="25">
        <f>SUMIFS($V$5:V93,$A$5:$A93,A94)</f>
        <v>0</v>
      </c>
      <c r="M94" s="27" t="s">
        <v>723</v>
      </c>
      <c r="N94" s="26" t="str">
        <f>IF(COUNTIF('07数值索引'!$A$5:$A$80,C94)=1,"PASS","CHECK")</f>
        <v>PASS</v>
      </c>
      <c r="O94" s="26">
        <f>SUMIF('07数值索引'!$A$5:$A$80,C94,'07数值索引'!$D$5:$D$80)</f>
        <v>0</v>
      </c>
      <c r="P94" s="26">
        <f>SUMIF('07数值索引'!$A$5:$A$80,C94,'07数值索引'!$E$5:$E$80)</f>
        <v>0</v>
      </c>
      <c r="Q94" s="26">
        <f>SUMIF('07数值索引'!$A$5:$A$80,C94,'07数值索引'!$F$5:$F$80)</f>
        <v>0</v>
      </c>
      <c r="R94" s="26">
        <f>SUMIF('07数值索引'!$A$5:$A$80,C94,'07数值索引'!$G$5:$G$80)</f>
        <v>0</v>
      </c>
      <c r="S94" s="26">
        <f>SUMIF('07数值索引'!$A$5:$A$80,C94,'07数值索引'!$M$5:$M$80)</f>
        <v>0</v>
      </c>
      <c r="T94" s="26">
        <f>SUMIF('07数值索引'!$A$5:$A$80,C94,'07数值索引'!$H$5:$H$80)</f>
        <v>0</v>
      </c>
      <c r="U94" s="26">
        <f>SUMIF('07数值索引'!$A$5:$A$80,C94,'07数值索引'!$I$5:$I$80)</f>
        <v>0</v>
      </c>
      <c r="V94" s="26">
        <f>SUMIF('07数值索引'!$A$5:$A$80,C94,'07数值索引'!$J$5:$J$80)</f>
        <v>0</v>
      </c>
    </row>
    <row r="95" ht="14.5" spans="1:22">
      <c r="A95" s="24" t="s">
        <v>691</v>
      </c>
      <c r="B95" s="25">
        <v>3</v>
      </c>
      <c r="C95" s="26" t="s">
        <v>165</v>
      </c>
      <c r="D95" s="26" t="str">
        <f>IFERROR(VLOOKUP(C95,'07数值索引'!$A$5:$S$80,19,FALSE),"未找到事件")</f>
        <v>追问旧法会，保留判断</v>
      </c>
      <c r="E95" s="25">
        <f>SUMIFS($O$5:O94,$A$5:$A94,A95)</f>
        <v>0</v>
      </c>
      <c r="F95" s="25">
        <f>SUMIFS($P$5:P94,$A$5:$A94,A95)</f>
        <v>0</v>
      </c>
      <c r="G95" s="25">
        <f>SUMIFS($Q$5:Q94,$A$5:$A94,A95)</f>
        <v>1</v>
      </c>
      <c r="H95" s="25">
        <f>SUMIFS($R$5:R94,$A$5:$A94,A95)</f>
        <v>1</v>
      </c>
      <c r="I95" s="25">
        <f>SUMIFS($S$5:S94,$A$5:$A94,A95)</f>
        <v>0</v>
      </c>
      <c r="J95" s="25">
        <f>SUMIFS($T$5:T94,$A$5:$A94,A95)</f>
        <v>0</v>
      </c>
      <c r="K95" s="25">
        <f>SUMIFS($U$5:U94,$A$5:$A94,A95)</f>
        <v>0</v>
      </c>
      <c r="L95" s="25">
        <f>SUMIFS($V$5:V94,$A$5:$A94,A95)</f>
        <v>0</v>
      </c>
      <c r="M95" s="27" t="s">
        <v>723</v>
      </c>
      <c r="N95" s="26" t="str">
        <f>IF(COUNTIF('07数值索引'!$A$5:$A$80,C95)=1,"PASS","CHECK")</f>
        <v>PASS</v>
      </c>
      <c r="O95" s="26">
        <f>SUMIF('07数值索引'!$A$5:$A$80,C95,'07数值索引'!$D$5:$D$80)</f>
        <v>0</v>
      </c>
      <c r="P95" s="26">
        <f>SUMIF('07数值索引'!$A$5:$A$80,C95,'07数值索引'!$E$5:$E$80)</f>
        <v>0</v>
      </c>
      <c r="Q95" s="26">
        <f>SUMIF('07数值索引'!$A$5:$A$80,C95,'07数值索引'!$F$5:$F$80)</f>
        <v>0</v>
      </c>
      <c r="R95" s="26">
        <f>SUMIF('07数值索引'!$A$5:$A$80,C95,'07数值索引'!$G$5:$G$80)</f>
        <v>0</v>
      </c>
      <c r="S95" s="26">
        <f>SUMIF('07数值索引'!$A$5:$A$80,C95,'07数值索引'!$M$5:$M$80)</f>
        <v>0</v>
      </c>
      <c r="T95" s="26">
        <f>SUMIF('07数值索引'!$A$5:$A$80,C95,'07数值索引'!$H$5:$H$80)</f>
        <v>0</v>
      </c>
      <c r="U95" s="26">
        <f>SUMIF('07数值索引'!$A$5:$A$80,C95,'07数值索引'!$I$5:$I$80)</f>
        <v>0</v>
      </c>
      <c r="V95" s="26">
        <f>SUMIF('07数值索引'!$A$5:$A$80,C95,'07数值索引'!$J$5:$J$80)</f>
        <v>0</v>
      </c>
    </row>
    <row r="96" ht="14.5" spans="1:22">
      <c r="A96" s="24" t="s">
        <v>691</v>
      </c>
      <c r="B96" s="25">
        <v>4</v>
      </c>
      <c r="C96" s="26" t="s">
        <v>265</v>
      </c>
      <c r="D96" s="26" t="str">
        <f>IFERROR(VLOOKUP(C96,'07数值索引'!$A$5:$S$80,19,FALSE),"未找到事件")</f>
        <v>沈婆凭熟人关系组织排队，食物仍然不够</v>
      </c>
      <c r="E96" s="25">
        <f>SUMIFS($O$5:O95,$A$5:$A95,A96)</f>
        <v>0</v>
      </c>
      <c r="F96" s="25">
        <f>SUMIFS($P$5:P95,$A$5:$A95,A96)</f>
        <v>0</v>
      </c>
      <c r="G96" s="25">
        <f>SUMIFS($Q$5:Q95,$A$5:$A95,A96)</f>
        <v>1</v>
      </c>
      <c r="H96" s="25">
        <f>SUMIFS($R$5:R95,$A$5:$A95,A96)</f>
        <v>1</v>
      </c>
      <c r="I96" s="25">
        <f>SUMIFS($S$5:S95,$A$5:$A95,A96)</f>
        <v>0</v>
      </c>
      <c r="J96" s="25">
        <f>SUMIFS($T$5:T95,$A$5:$A95,A96)</f>
        <v>0</v>
      </c>
      <c r="K96" s="25">
        <f>SUMIFS($U$5:U95,$A$5:$A95,A96)</f>
        <v>0</v>
      </c>
      <c r="L96" s="25">
        <f>SUMIFS($V$5:V95,$A$5:$A95,A96)</f>
        <v>0</v>
      </c>
      <c r="M96" s="27" t="s">
        <v>723</v>
      </c>
      <c r="N96" s="26" t="str">
        <f>IF(COUNTIF('07数值索引'!$A$5:$A$80,C96)=1,"PASS","CHECK")</f>
        <v>PASS</v>
      </c>
      <c r="O96" s="26">
        <f>SUMIF('07数值索引'!$A$5:$A$80,C96,'07数值索引'!$D$5:$D$80)</f>
        <v>1</v>
      </c>
      <c r="P96" s="26">
        <f>SUMIF('07数值索引'!$A$5:$A$80,C96,'07数值索引'!$E$5:$E$80)</f>
        <v>0</v>
      </c>
      <c r="Q96" s="26">
        <f>SUMIF('07数值索引'!$A$5:$A$80,C96,'07数值索引'!$F$5:$F$80)</f>
        <v>0</v>
      </c>
      <c r="R96" s="26">
        <f>SUMIF('07数值索引'!$A$5:$A$80,C96,'07数值索引'!$G$5:$G$80)</f>
        <v>0</v>
      </c>
      <c r="S96" s="26">
        <f>SUMIF('07数值索引'!$A$5:$A$80,C96,'07数值索引'!$M$5:$M$80)</f>
        <v>0</v>
      </c>
      <c r="T96" s="26">
        <f>SUMIF('07数值索引'!$A$5:$A$80,C96,'07数值索引'!$H$5:$H$80)</f>
        <v>0</v>
      </c>
      <c r="U96" s="26">
        <f>SUMIF('07数值索引'!$A$5:$A$80,C96,'07数值索引'!$I$5:$I$80)</f>
        <v>0</v>
      </c>
      <c r="V96" s="26">
        <f>SUMIF('07数值索引'!$A$5:$A$80,C96,'07数值索引'!$J$5:$J$80)</f>
        <v>0</v>
      </c>
    </row>
    <row r="97" ht="14.5" spans="1:22">
      <c r="A97" s="24" t="s">
        <v>691</v>
      </c>
      <c r="B97" s="25">
        <v>5</v>
      </c>
      <c r="C97" s="26" t="s">
        <v>187</v>
      </c>
      <c r="D97" s="26" t="str">
        <f>IFERROR(VLOOKUP(C97,'07数值索引'!$A$5:$S$80,19,FALSE),"未找到事件")</f>
        <v>沉默并交出名单</v>
      </c>
      <c r="E97" s="25">
        <f>SUMIFS($O$5:O96,$A$5:$A96,A97)</f>
        <v>1</v>
      </c>
      <c r="F97" s="25">
        <f>SUMIFS($P$5:P96,$A$5:$A96,A97)</f>
        <v>0</v>
      </c>
      <c r="G97" s="25">
        <f>SUMIFS($Q$5:Q96,$A$5:$A96,A97)</f>
        <v>1</v>
      </c>
      <c r="H97" s="25">
        <f>SUMIFS($R$5:R96,$A$5:$A96,A97)</f>
        <v>1</v>
      </c>
      <c r="I97" s="25">
        <f>SUMIFS($S$5:S96,$A$5:$A96,A97)</f>
        <v>0</v>
      </c>
      <c r="J97" s="25">
        <f>SUMIFS($T$5:T96,$A$5:$A96,A97)</f>
        <v>0</v>
      </c>
      <c r="K97" s="25">
        <f>SUMIFS($U$5:U96,$A$5:$A96,A97)</f>
        <v>0</v>
      </c>
      <c r="L97" s="25">
        <f>SUMIFS($V$5:V96,$A$5:$A96,A97)</f>
        <v>0</v>
      </c>
      <c r="M97" s="27" t="s">
        <v>723</v>
      </c>
      <c r="N97" s="26" t="str">
        <f>IF(COUNTIF('07数值索引'!$A$5:$A$80,C97)=1,"PASS","CHECK")</f>
        <v>PASS</v>
      </c>
      <c r="O97" s="26">
        <f>SUMIF('07数值索引'!$A$5:$A$80,C97,'07数值索引'!$D$5:$D$80)</f>
        <v>2</v>
      </c>
      <c r="P97" s="26">
        <f>SUMIF('07数值索引'!$A$5:$A$80,C97,'07数值索引'!$E$5:$E$80)</f>
        <v>0</v>
      </c>
      <c r="Q97" s="26">
        <f>SUMIF('07数值索引'!$A$5:$A$80,C97,'07数值索引'!$F$5:$F$80)</f>
        <v>1</v>
      </c>
      <c r="R97" s="26">
        <f>SUMIF('07数值索引'!$A$5:$A$80,C97,'07数值索引'!$G$5:$G$80)</f>
        <v>0</v>
      </c>
      <c r="S97" s="26">
        <f>SUMIF('07数值索引'!$A$5:$A$80,C97,'07数值索引'!$M$5:$M$80)</f>
        <v>0</v>
      </c>
      <c r="T97" s="26">
        <f>SUMIF('07数值索引'!$A$5:$A$80,C97,'07数值索引'!$H$5:$H$80)</f>
        <v>0</v>
      </c>
      <c r="U97" s="26">
        <f>SUMIF('07数值索引'!$A$5:$A$80,C97,'07数值索引'!$I$5:$I$80)</f>
        <v>0</v>
      </c>
      <c r="V97" s="26">
        <f>SUMIF('07数值索引'!$A$5:$A$80,C97,'07数值索引'!$J$5:$J$80)</f>
        <v>0</v>
      </c>
    </row>
    <row r="98" ht="14.5" spans="1:22">
      <c r="A98" s="24" t="s">
        <v>691</v>
      </c>
      <c r="B98" s="25">
        <v>6</v>
      </c>
      <c r="C98" s="26" t="s">
        <v>197</v>
      </c>
      <c r="D98" s="26" t="str">
        <f>IFERROR(VLOOKUP(C98,'07数值索引'!$A$5:$S$80,19,FALSE),"未找到事件")</f>
        <v>承认说过，但强调自己不知道会死人</v>
      </c>
      <c r="E98" s="25">
        <f>SUMIFS($O$5:O97,$A$5:$A97,A98)</f>
        <v>3</v>
      </c>
      <c r="F98" s="25">
        <f>SUMIFS($P$5:P97,$A$5:$A97,A98)</f>
        <v>0</v>
      </c>
      <c r="G98" s="25">
        <f>SUMIFS($Q$5:Q97,$A$5:$A97,A98)</f>
        <v>2</v>
      </c>
      <c r="H98" s="25">
        <f>SUMIFS($R$5:R97,$A$5:$A97,A98)</f>
        <v>1</v>
      </c>
      <c r="I98" s="25">
        <f>SUMIFS($S$5:S97,$A$5:$A97,A98)</f>
        <v>0</v>
      </c>
      <c r="J98" s="25">
        <f>SUMIFS($T$5:T97,$A$5:$A97,A98)</f>
        <v>0</v>
      </c>
      <c r="K98" s="25">
        <f>SUMIFS($U$5:U97,$A$5:$A97,A98)</f>
        <v>0</v>
      </c>
      <c r="L98" s="25">
        <f>SUMIFS($V$5:V97,$A$5:$A97,A98)</f>
        <v>0</v>
      </c>
      <c r="M98" s="27" t="s">
        <v>723</v>
      </c>
      <c r="N98" s="26" t="str">
        <f>IF(COUNTIF('07数值索引'!$A$5:$A$80,C98)=1,"PASS","CHECK")</f>
        <v>PASS</v>
      </c>
      <c r="O98" s="26">
        <f>SUMIF('07数值索引'!$A$5:$A$80,C98,'07数值索引'!$D$5:$D$80)</f>
        <v>0</v>
      </c>
      <c r="P98" s="26">
        <f>SUMIF('07数值索引'!$A$5:$A$80,C98,'07数值索引'!$E$5:$E$80)</f>
        <v>0</v>
      </c>
      <c r="Q98" s="26">
        <f>SUMIF('07数值索引'!$A$5:$A$80,C98,'07数值索引'!$F$5:$F$80)</f>
        <v>-1</v>
      </c>
      <c r="R98" s="26">
        <f>SUMIF('07数值索引'!$A$5:$A$80,C98,'07数值索引'!$G$5:$G$80)</f>
        <v>0</v>
      </c>
      <c r="S98" s="26">
        <f>SUMIF('07数值索引'!$A$5:$A$80,C98,'07数值索引'!$M$5:$M$80)</f>
        <v>0</v>
      </c>
      <c r="T98" s="26">
        <f>SUMIF('07数值索引'!$A$5:$A$80,C98,'07数值索引'!$H$5:$H$80)</f>
        <v>0</v>
      </c>
      <c r="U98" s="26">
        <f>SUMIF('07数值索引'!$A$5:$A$80,C98,'07数值索引'!$I$5:$I$80)</f>
        <v>0</v>
      </c>
      <c r="V98" s="26">
        <f>SUMIF('07数值索引'!$A$5:$A$80,C98,'07数值索引'!$J$5:$J$80)</f>
        <v>0</v>
      </c>
    </row>
    <row r="99" ht="14.5" spans="1:22">
      <c r="A99" s="24" t="s">
        <v>691</v>
      </c>
      <c r="B99" s="25">
        <v>7</v>
      </c>
      <c r="C99" s="26" t="s">
        <v>441</v>
      </c>
      <c r="D99" s="26" t="str">
        <f>IFERROR(VLOOKUP(C99,'07数值索引'!$A$5:$S$80,19,FALSE),"未找到事件")</f>
        <v>罪行离开主角控制，由受害者决定如何使用</v>
      </c>
      <c r="E99" s="25">
        <f>SUMIFS($O$5:O98,$A$5:$A98,A99)</f>
        <v>3</v>
      </c>
      <c r="F99" s="25">
        <f>SUMIFS($P$5:P98,$A$5:$A98,A99)</f>
        <v>0</v>
      </c>
      <c r="G99" s="25">
        <f>SUMIFS($Q$5:Q98,$A$5:$A98,A99)</f>
        <v>1</v>
      </c>
      <c r="H99" s="25">
        <f>SUMIFS($R$5:R98,$A$5:$A98,A99)</f>
        <v>1</v>
      </c>
      <c r="I99" s="25">
        <f>SUMIFS($S$5:S98,$A$5:$A98,A99)</f>
        <v>0</v>
      </c>
      <c r="J99" s="25">
        <f>SUMIFS($T$5:T98,$A$5:$A98,A99)</f>
        <v>0</v>
      </c>
      <c r="K99" s="25">
        <f>SUMIFS($U$5:U98,$A$5:$A98,A99)</f>
        <v>0</v>
      </c>
      <c r="L99" s="25">
        <f>SUMIFS($V$5:V98,$A$5:$A98,A99)</f>
        <v>0</v>
      </c>
      <c r="M99" s="27" t="s">
        <v>724</v>
      </c>
      <c r="N99" s="26" t="str">
        <f>IF(AND(COUNTIF('07数值索引'!$A$5:$A$80,C99)=1,OR(G99&gt;=4,AND(G99&gt;=1,G99&lt;=3,OR(COUNTIFS($A$5:$A98,A99,$C$5:$C98,"S04-A04")&gt;0,COUNTIFS($A$5:$A98,A99,$C$5:$C98,"S04-B01")&gt;0)))),"PASS","CHECK")</f>
        <v>PASS</v>
      </c>
      <c r="O99" s="26">
        <f>SUMIF('07数值索引'!$A$5:$A$80,C99,'07数值索引'!$D$5:$D$80)</f>
        <v>2</v>
      </c>
      <c r="P99" s="26">
        <f>SUMIF('07数值索引'!$A$5:$A$80,C99,'07数值索引'!$E$5:$E$80)</f>
        <v>0</v>
      </c>
      <c r="Q99" s="26">
        <f>SUMIF('07数值索引'!$A$5:$A$80,C99,'07数值索引'!$F$5:$F$80)</f>
        <v>1</v>
      </c>
      <c r="R99" s="26">
        <f>SUMIF('07数值索引'!$A$5:$A$80,C99,'07数值索引'!$G$5:$G$80)</f>
        <v>0</v>
      </c>
      <c r="S99" s="26">
        <f>SUMIF('07数值索引'!$A$5:$A$80,C99,'07数值索引'!$M$5:$M$80)</f>
        <v>0</v>
      </c>
      <c r="T99" s="26">
        <f>SUMIF('07数值索引'!$A$5:$A$80,C99,'07数值索引'!$H$5:$H$80)</f>
        <v>1</v>
      </c>
      <c r="U99" s="26">
        <f>SUMIF('07数值索引'!$A$5:$A$80,C99,'07数值索引'!$I$5:$I$80)</f>
        <v>0</v>
      </c>
      <c r="V99" s="26">
        <f>SUMIF('07数值索引'!$A$5:$A$80,C99,'07数值索引'!$J$5:$J$80)</f>
        <v>0</v>
      </c>
    </row>
    <row r="100" ht="14.5" spans="1:22">
      <c r="A100" s="24" t="s">
        <v>691</v>
      </c>
      <c r="B100" s="25">
        <v>8</v>
      </c>
      <c r="C100" s="26" t="s">
        <v>467</v>
      </c>
      <c r="D100" s="26" t="str">
        <f>IFERROR(VLOOKUP(C100,'07数值索引'!$A$5:$S$80,19,FALSE),"未找到事件")</f>
        <v>保留自保筹码，不让真相抵达他人</v>
      </c>
      <c r="E100" s="25">
        <f>SUMIFS($O$5:O99,$A$5:$A99,A100)</f>
        <v>5</v>
      </c>
      <c r="F100" s="25">
        <f>SUMIFS($P$5:P99,$A$5:$A99,A100)</f>
        <v>0</v>
      </c>
      <c r="G100" s="25">
        <f>SUMIFS($Q$5:Q99,$A$5:$A99,A100)</f>
        <v>2</v>
      </c>
      <c r="H100" s="25">
        <f>SUMIFS($R$5:R99,$A$5:$A99,A100)</f>
        <v>1</v>
      </c>
      <c r="I100" s="25">
        <f>SUMIFS($S$5:S99,$A$5:$A99,A100)</f>
        <v>0</v>
      </c>
      <c r="J100" s="25">
        <f>SUMIFS($T$5:T99,$A$5:$A99,A100)</f>
        <v>1</v>
      </c>
      <c r="K100" s="25">
        <f>SUMIFS($U$5:U99,$A$5:$A99,A100)</f>
        <v>0</v>
      </c>
      <c r="L100" s="25">
        <f>SUMIFS($V$5:V99,$A$5:$A99,A100)</f>
        <v>0</v>
      </c>
      <c r="M100" s="27" t="s">
        <v>723</v>
      </c>
      <c r="N100" s="26" t="str">
        <f>IF(COUNTIF('07数值索引'!$A$5:$A$80,C100)=1,"PASS","CHECK")</f>
        <v>PASS</v>
      </c>
      <c r="O100" s="26">
        <f>SUMIF('07数值索引'!$A$5:$A$80,C100,'07数值索引'!$D$5:$D$80)</f>
        <v>-1</v>
      </c>
      <c r="P100" s="26">
        <f>SUMIF('07数值索引'!$A$5:$A$80,C100,'07数值索引'!$E$5:$E$80)</f>
        <v>0</v>
      </c>
      <c r="Q100" s="26">
        <f>SUMIF('07数值索引'!$A$5:$A$80,C100,'07数值索引'!$F$5:$F$80)</f>
        <v>0</v>
      </c>
      <c r="R100" s="26">
        <f>SUMIF('07数值索引'!$A$5:$A$80,C100,'07数值索引'!$G$5:$G$80)</f>
        <v>0</v>
      </c>
      <c r="S100" s="26">
        <f>SUMIF('07数值索引'!$A$5:$A$80,C100,'07数值索引'!$M$5:$M$80)</f>
        <v>0</v>
      </c>
      <c r="T100" s="26">
        <f>SUMIF('07数值索引'!$A$5:$A$80,C100,'07数值索引'!$H$5:$H$80)</f>
        <v>0</v>
      </c>
      <c r="U100" s="26">
        <f>SUMIF('07数值索引'!$A$5:$A$80,C100,'07数值索引'!$I$5:$I$80)</f>
        <v>1</v>
      </c>
      <c r="V100" s="26">
        <f>SUMIF('07数值索引'!$A$5:$A$80,C100,'07数值索引'!$J$5:$J$80)</f>
        <v>0</v>
      </c>
    </row>
    <row r="101" ht="14.5" spans="1:22">
      <c r="A101" s="24" t="s">
        <v>691</v>
      </c>
      <c r="B101" s="25">
        <v>9</v>
      </c>
      <c r="C101" s="26" t="s">
        <v>476</v>
      </c>
      <c r="D101" s="26" t="str">
        <f>IFERROR(VLOOKUP(C101,'07数值索引'!$A$5:$S$80,19,FALSE),"未找到事件")</f>
        <v>将赃款再次变成逃亡资本</v>
      </c>
      <c r="E101" s="25">
        <f>SUMIFS($O$5:O100,$A$5:$A100,A101)</f>
        <v>4</v>
      </c>
      <c r="F101" s="25">
        <f>SUMIFS($P$5:P100,$A$5:$A100,A101)</f>
        <v>0</v>
      </c>
      <c r="G101" s="25">
        <f>SUMIFS($Q$5:Q100,$A$5:$A100,A101)</f>
        <v>2</v>
      </c>
      <c r="H101" s="25">
        <f>SUMIFS($R$5:R100,$A$5:$A100,A101)</f>
        <v>1</v>
      </c>
      <c r="I101" s="25">
        <f>SUMIFS($S$5:S100,$A$5:$A100,A101)</f>
        <v>0</v>
      </c>
      <c r="J101" s="25">
        <f>SUMIFS($T$5:T100,$A$5:$A100,A101)</f>
        <v>1</v>
      </c>
      <c r="K101" s="25">
        <f>SUMIFS($U$5:U100,$A$5:$A100,A101)</f>
        <v>1</v>
      </c>
      <c r="L101" s="25">
        <f>SUMIFS($V$5:V100,$A$5:$A100,A101)</f>
        <v>0</v>
      </c>
      <c r="M101" s="27" t="s">
        <v>723</v>
      </c>
      <c r="N101" s="26" t="str">
        <f>IF(COUNTIF('07数值索引'!$A$5:$A$80,C101)=1,"PASS","CHECK")</f>
        <v>PASS</v>
      </c>
      <c r="O101" s="26">
        <f>SUMIF('07数值索引'!$A$5:$A$80,C101,'07数值索引'!$D$5:$D$80)</f>
        <v>-2</v>
      </c>
      <c r="P101" s="26">
        <f>SUMIF('07数值索引'!$A$5:$A$80,C101,'07数值索引'!$E$5:$E$80)</f>
        <v>0</v>
      </c>
      <c r="Q101" s="26">
        <f>SUMIF('07数值索引'!$A$5:$A$80,C101,'07数值索引'!$F$5:$F$80)</f>
        <v>-2</v>
      </c>
      <c r="R101" s="26">
        <f>SUMIF('07数值索引'!$A$5:$A$80,C101,'07数值索引'!$G$5:$G$80)</f>
        <v>0</v>
      </c>
      <c r="S101" s="26">
        <f>SUMIF('07数值索引'!$A$5:$A$80,C101,'07数值索引'!$M$5:$M$80)</f>
        <v>0</v>
      </c>
      <c r="T101" s="26">
        <f>SUMIF('07数值索引'!$A$5:$A$80,C101,'07数值索引'!$H$5:$H$80)</f>
        <v>0</v>
      </c>
      <c r="U101" s="26">
        <f>SUMIF('07数值索引'!$A$5:$A$80,C101,'07数值索引'!$I$5:$I$80)</f>
        <v>0</v>
      </c>
      <c r="V101" s="26">
        <f>SUMIF('07数值索引'!$A$5:$A$80,C101,'07数值索引'!$J$5:$J$80)</f>
        <v>1</v>
      </c>
    </row>
    <row r="102" ht="14.5" spans="1:22">
      <c r="A102" s="24" t="s">
        <v>691</v>
      </c>
      <c r="B102" s="25">
        <v>10</v>
      </c>
      <c r="C102" s="26" t="s">
        <v>487</v>
      </c>
      <c r="D102" s="26" t="str">
        <f>IFERROR(VLOOKUP(C102,'07数值索引'!$A$5:$S$80,19,FALSE),"未找到事件")</f>
        <v>没有立刻使用，却保留随时返回的可能</v>
      </c>
      <c r="E102" s="25">
        <f>SUMIFS($O$5:O101,$A$5:$A101,A102)</f>
        <v>2</v>
      </c>
      <c r="F102" s="25">
        <f>SUMIFS($P$5:P101,$A$5:$A101,A102)</f>
        <v>0</v>
      </c>
      <c r="G102" s="25">
        <f>SUMIFS($Q$5:Q101,$A$5:$A101,A102)</f>
        <v>0</v>
      </c>
      <c r="H102" s="25">
        <f>SUMIFS($R$5:R101,$A$5:$A101,A102)</f>
        <v>1</v>
      </c>
      <c r="I102" s="25">
        <f>SUMIFS($S$5:S101,$A$5:$A101,A102)</f>
        <v>0</v>
      </c>
      <c r="J102" s="25">
        <f>SUMIFS($T$5:T101,$A$5:$A101,A102)</f>
        <v>1</v>
      </c>
      <c r="K102" s="25">
        <f>SUMIFS($U$5:U101,$A$5:$A101,A102)</f>
        <v>1</v>
      </c>
      <c r="L102" s="25">
        <f>SUMIFS($V$5:V101,$A$5:$A101,A102)</f>
        <v>1</v>
      </c>
      <c r="M102" s="27" t="s">
        <v>723</v>
      </c>
      <c r="N102" s="26" t="str">
        <f>IF(COUNTIF('07数值索引'!$A$5:$A$80,C102)=1,"PASS","CHECK")</f>
        <v>PASS</v>
      </c>
      <c r="O102" s="26">
        <f>SUMIF('07数值索引'!$A$5:$A$80,C102,'07数值索引'!$D$5:$D$80)</f>
        <v>-1</v>
      </c>
      <c r="P102" s="26">
        <f>SUMIF('07数值索引'!$A$5:$A$80,C102,'07数值索引'!$E$5:$E$80)</f>
        <v>1</v>
      </c>
      <c r="Q102" s="26">
        <f>SUMIF('07数值索引'!$A$5:$A$80,C102,'07数值索引'!$F$5:$F$80)</f>
        <v>0</v>
      </c>
      <c r="R102" s="26">
        <f>SUMIF('07数值索引'!$A$5:$A$80,C102,'07数值索引'!$G$5:$G$80)</f>
        <v>0</v>
      </c>
      <c r="S102" s="26">
        <f>SUMIF('07数值索引'!$A$5:$A$80,C102,'07数值索引'!$M$5:$M$80)</f>
        <v>0</v>
      </c>
      <c r="T102" s="26">
        <f>SUMIF('07数值索引'!$A$5:$A$80,C102,'07数值索引'!$H$5:$H$80)</f>
        <v>0</v>
      </c>
      <c r="U102" s="26">
        <f>SUMIF('07数值索引'!$A$5:$A$80,C102,'07数值索引'!$I$5:$I$80)</f>
        <v>0</v>
      </c>
      <c r="V102" s="26">
        <f>SUMIF('07数值索引'!$A$5:$A$80,C102,'07数值索引'!$J$5:$J$80)</f>
        <v>0</v>
      </c>
    </row>
    <row r="103" ht="29" spans="1:22">
      <c r="A103" s="24" t="s">
        <v>691</v>
      </c>
      <c r="B103" s="25">
        <v>11</v>
      </c>
      <c r="C103" s="26" t="s">
        <v>636</v>
      </c>
      <c r="D103" s="26" t="str">
        <f>IFERROR(VLOOKUP(C103,'07数值索引'!$A$5:$S$80,19,FALSE),"未找到事件")</f>
        <v>阿禾中信任时只带证据离开，不共享撤离路线；魏先在阿芸离开前截住她</v>
      </c>
      <c r="E103" s="25">
        <f>SUMIFS($O$5:O102,$A$5:$A102,A103)</f>
        <v>1</v>
      </c>
      <c r="F103" s="25">
        <f>SUMIFS($P$5:P102,$A$5:$A102,A103)</f>
        <v>1</v>
      </c>
      <c r="G103" s="25">
        <f>SUMIFS($Q$5:Q102,$A$5:$A102,A103)</f>
        <v>0</v>
      </c>
      <c r="H103" s="25">
        <f>SUMIFS($R$5:R102,$A$5:$A102,A103)</f>
        <v>1</v>
      </c>
      <c r="I103" s="25">
        <f>SUMIFS($S$5:S102,$A$5:$A102,A103)</f>
        <v>0</v>
      </c>
      <c r="J103" s="25">
        <f>SUMIFS($T$5:T102,$A$5:$A102,A103)</f>
        <v>1</v>
      </c>
      <c r="K103" s="25">
        <f>SUMIFS($U$5:U102,$A$5:$A102,A103)</f>
        <v>1</v>
      </c>
      <c r="L103" s="25">
        <f>SUMIFS($V$5:V102,$A$5:$A102,A103)</f>
        <v>1</v>
      </c>
      <c r="M103" s="27" t="s">
        <v>723</v>
      </c>
      <c r="N103" s="26" t="str">
        <f>IF(COUNTIF('07数值索引'!$A$5:$A$80,C103)=1,"PASS","CHECK")</f>
        <v>PASS</v>
      </c>
      <c r="O103" s="26">
        <f>SUMIF('07数值索引'!$A$5:$A$80,C103,'07数值索引'!$D$5:$D$80)</f>
        <v>0</v>
      </c>
      <c r="P103" s="26">
        <f>SUMIF('07数值索引'!$A$5:$A$80,C103,'07数值索引'!$E$5:$E$80)</f>
        <v>0</v>
      </c>
      <c r="Q103" s="26">
        <f>SUMIF('07数值索引'!$A$5:$A$80,C103,'07数值索引'!$F$5:$F$80)</f>
        <v>0</v>
      </c>
      <c r="R103" s="26">
        <f>SUMIF('07数值索引'!$A$5:$A$80,C103,'07数值索引'!$G$5:$G$80)</f>
        <v>2</v>
      </c>
      <c r="S103" s="26">
        <f>SUMIF('07数值索引'!$A$5:$A$80,C103,'07数值索引'!$M$5:$M$80)</f>
        <v>0</v>
      </c>
      <c r="T103" s="26">
        <f>SUMIF('07数值索引'!$A$5:$A$80,C103,'07数值索引'!$H$5:$H$80)</f>
        <v>0</v>
      </c>
      <c r="U103" s="26">
        <f>SUMIF('07数值索引'!$A$5:$A$80,C103,'07数值索引'!$I$5:$I$80)</f>
        <v>0</v>
      </c>
      <c r="V103" s="26">
        <f>SUMIF('07数值索引'!$A$5:$A$80,C103,'07数值索引'!$J$5:$J$80)</f>
        <v>0</v>
      </c>
    </row>
    <row r="104" ht="14.5" spans="1:22">
      <c r="A104" s="24" t="s">
        <v>691</v>
      </c>
      <c r="B104" s="25">
        <v>12</v>
      </c>
      <c r="C104" s="26" t="s">
        <v>222</v>
      </c>
      <c r="D104" s="26" t="str">
        <f>IFERROR(VLOOKUP(C104,'07数值索引'!$A$5:$S$80,19,FALSE),"未找到事件")</f>
        <v>藏证携银独自逃亡，但没有再次利用阿禾</v>
      </c>
      <c r="E104" s="25">
        <f>SUMIFS($O$5:O103,$A$5:$A103,A104)</f>
        <v>1</v>
      </c>
      <c r="F104" s="25">
        <f>SUMIFS($P$5:P103,$A$5:$A103,A104)</f>
        <v>1</v>
      </c>
      <c r="G104" s="25">
        <f>SUMIFS($Q$5:Q103,$A$5:$A103,A104)</f>
        <v>0</v>
      </c>
      <c r="H104" s="25">
        <f>SUMIFS($R$5:R103,$A$5:$A103,A104)</f>
        <v>3</v>
      </c>
      <c r="I104" s="25">
        <f>SUMIFS($S$5:S103,$A$5:$A103,A104)</f>
        <v>0</v>
      </c>
      <c r="J104" s="25">
        <f>SUMIFS($T$5:T103,$A$5:$A103,A104)</f>
        <v>1</v>
      </c>
      <c r="K104" s="25">
        <f>SUMIFS($U$5:U103,$A$5:$A103,A104)</f>
        <v>1</v>
      </c>
      <c r="L104" s="25">
        <f>SUMIFS($V$5:V103,$A$5:$A103,A104)</f>
        <v>1</v>
      </c>
      <c r="M104" s="27" t="s">
        <v>723</v>
      </c>
      <c r="N104" s="26" t="str">
        <f>IF(COUNTIF('07数值索引'!$A$5:$A$80,C104)=1,"PASS","CHECK")</f>
        <v>PASS</v>
      </c>
      <c r="O104" s="26">
        <f>SUMIF('07数值索引'!$A$5:$A$80,C104,'07数值索引'!$D$5:$D$80)</f>
        <v>-2</v>
      </c>
      <c r="P104" s="26">
        <f>SUMIF('07数值索引'!$A$5:$A$80,C104,'07数值索引'!$E$5:$E$80)</f>
        <v>0</v>
      </c>
      <c r="Q104" s="26">
        <f>SUMIF('07数值索引'!$A$5:$A$80,C104,'07数值索引'!$F$5:$F$80)</f>
        <v>-2</v>
      </c>
      <c r="R104" s="26">
        <f>SUMIF('07数值索引'!$A$5:$A$80,C104,'07数值索引'!$G$5:$G$80)</f>
        <v>1</v>
      </c>
      <c r="S104" s="26">
        <f>SUMIF('07数值索引'!$A$5:$A$80,C104,'07数值索引'!$M$5:$M$80)</f>
        <v>0</v>
      </c>
      <c r="T104" s="26">
        <f>SUMIF('07数值索引'!$A$5:$A$80,C104,'07数值索引'!$H$5:$H$80)</f>
        <v>0</v>
      </c>
      <c r="U104" s="26">
        <f>SUMIF('07数值索引'!$A$5:$A$80,C104,'07数值索引'!$I$5:$I$80)</f>
        <v>0</v>
      </c>
      <c r="V104" s="26">
        <f>SUMIF('07数值索引'!$A$5:$A$80,C104,'07数值索引'!$J$5:$J$80)</f>
        <v>0</v>
      </c>
    </row>
    <row r="105" ht="14.5" spans="1:22">
      <c r="A105" s="24" t="s">
        <v>694</v>
      </c>
      <c r="B105" s="25">
        <v>1</v>
      </c>
      <c r="C105" s="26" t="s">
        <v>582</v>
      </c>
      <c r="D105" s="26" t="str">
        <f>IFERROR(VLOOKUP(C105,'07数值索引'!$A$5:$S$80,19,FALSE),"未找到事件")</f>
        <v>阿禾因救人而保留最低限度善意；追兵已在沿河搜索</v>
      </c>
      <c r="E105" s="25">
        <f t="shared" ref="E105:L105" si="10">0</f>
        <v>0</v>
      </c>
      <c r="F105" s="25">
        <f t="shared" si="10"/>
        <v>0</v>
      </c>
      <c r="G105" s="25">
        <f t="shared" si="10"/>
        <v>0</v>
      </c>
      <c r="H105" s="25">
        <f t="shared" si="10"/>
        <v>0</v>
      </c>
      <c r="I105" s="25">
        <f t="shared" si="10"/>
        <v>0</v>
      </c>
      <c r="J105" s="25">
        <f t="shared" si="10"/>
        <v>0</v>
      </c>
      <c r="K105" s="25">
        <f t="shared" si="10"/>
        <v>0</v>
      </c>
      <c r="L105" s="25">
        <f t="shared" si="10"/>
        <v>0</v>
      </c>
      <c r="M105" s="27" t="s">
        <v>723</v>
      </c>
      <c r="N105" s="26" t="str">
        <f>IF(COUNTIF('07数值索引'!$A$5:$A$80,C105)=1,"PASS","CHECK")</f>
        <v>PASS</v>
      </c>
      <c r="O105" s="26">
        <f>SUMIF('07数值索引'!$A$5:$A$80,C105,'07数值索引'!$D$5:$D$80)</f>
        <v>0</v>
      </c>
      <c r="P105" s="26">
        <f>SUMIF('07数值索引'!$A$5:$A$80,C105,'07数值索引'!$E$5:$E$80)</f>
        <v>0</v>
      </c>
      <c r="Q105" s="26">
        <f>SUMIF('07数值索引'!$A$5:$A$80,C105,'07数值索引'!$F$5:$F$80)</f>
        <v>1</v>
      </c>
      <c r="R105" s="26">
        <f>SUMIF('07数值索引'!$A$5:$A$80,C105,'07数值索引'!$G$5:$G$80)</f>
        <v>1</v>
      </c>
      <c r="S105" s="26">
        <f>SUMIF('07数值索引'!$A$5:$A$80,C105,'07数值索引'!$M$5:$M$80)</f>
        <v>0</v>
      </c>
      <c r="T105" s="26">
        <f>SUMIF('07数值索引'!$A$5:$A$80,C105,'07数值索引'!$H$5:$H$80)</f>
        <v>0</v>
      </c>
      <c r="U105" s="26">
        <f>SUMIF('07数值索引'!$A$5:$A$80,C105,'07数值索引'!$I$5:$I$80)</f>
        <v>0</v>
      </c>
      <c r="V105" s="26">
        <f>SUMIF('07数值索引'!$A$5:$A$80,C105,'07数值索引'!$J$5:$J$80)</f>
        <v>0</v>
      </c>
    </row>
    <row r="106" ht="14.5" spans="1:22">
      <c r="A106" s="24" t="s">
        <v>694</v>
      </c>
      <c r="B106" s="25">
        <v>2</v>
      </c>
      <c r="C106" s="26" t="s">
        <v>144</v>
      </c>
      <c r="D106" s="26" t="str">
        <f>IFERROR(VLOOKUP(C106,'07数值索引'!$A$5:$S$80,19,FALSE),"未找到事件")</f>
        <v>坦白不知道来历，也不想连累阿禾</v>
      </c>
      <c r="E106" s="25">
        <f>SUMIFS($O$5:O105,$A$5:$A105,A106)</f>
        <v>0</v>
      </c>
      <c r="F106" s="25">
        <f>SUMIFS($P$5:P105,$A$5:$A105,A106)</f>
        <v>0</v>
      </c>
      <c r="G106" s="25">
        <f>SUMIFS($Q$5:Q105,$A$5:$A105,A106)</f>
        <v>1</v>
      </c>
      <c r="H106" s="25">
        <f>SUMIFS($R$5:R105,$A$5:$A105,A106)</f>
        <v>1</v>
      </c>
      <c r="I106" s="25">
        <f>SUMIFS($S$5:S105,$A$5:$A105,A106)</f>
        <v>0</v>
      </c>
      <c r="J106" s="25">
        <f>SUMIFS($T$5:T105,$A$5:$A105,A106)</f>
        <v>0</v>
      </c>
      <c r="K106" s="25">
        <f>SUMIFS($U$5:U105,$A$5:$A105,A106)</f>
        <v>0</v>
      </c>
      <c r="L106" s="25">
        <f>SUMIFS($V$5:V105,$A$5:$A105,A106)</f>
        <v>0</v>
      </c>
      <c r="M106" s="27" t="s">
        <v>723</v>
      </c>
      <c r="N106" s="26" t="str">
        <f>IF(COUNTIF('07数值索引'!$A$5:$A$80,C106)=1,"PASS","CHECK")</f>
        <v>PASS</v>
      </c>
      <c r="O106" s="26">
        <f>SUMIF('07数值索引'!$A$5:$A$80,C106,'07数值索引'!$D$5:$D$80)</f>
        <v>0</v>
      </c>
      <c r="P106" s="26">
        <f>SUMIF('07数值索引'!$A$5:$A$80,C106,'07数值索引'!$E$5:$E$80)</f>
        <v>0</v>
      </c>
      <c r="Q106" s="26">
        <f>SUMIF('07数值索引'!$A$5:$A$80,C106,'07数值索引'!$F$5:$F$80)</f>
        <v>1</v>
      </c>
      <c r="R106" s="26">
        <f>SUMIF('07数值索引'!$A$5:$A$80,C106,'07数值索引'!$G$5:$G$80)</f>
        <v>0</v>
      </c>
      <c r="S106" s="26">
        <f>SUMIF('07数值索引'!$A$5:$A$80,C106,'07数值索引'!$M$5:$M$80)</f>
        <v>0</v>
      </c>
      <c r="T106" s="26">
        <f>SUMIF('07数值索引'!$A$5:$A$80,C106,'07数值索引'!$H$5:$H$80)</f>
        <v>0</v>
      </c>
      <c r="U106" s="26">
        <f>SUMIF('07数值索引'!$A$5:$A$80,C106,'07数值索引'!$I$5:$I$80)</f>
        <v>0</v>
      </c>
      <c r="V106" s="26">
        <f>SUMIF('07数值索引'!$A$5:$A$80,C106,'07数值索引'!$J$5:$J$80)</f>
        <v>0</v>
      </c>
    </row>
    <row r="107" ht="14.5" spans="1:22">
      <c r="A107" s="24" t="s">
        <v>694</v>
      </c>
      <c r="B107" s="25">
        <v>3</v>
      </c>
      <c r="C107" s="26" t="s">
        <v>169</v>
      </c>
      <c r="D107" s="26" t="str">
        <f>IFERROR(VLOOKUP(C107,'07数值索引'!$A$5:$S$80,19,FALSE),"未找到事件")</f>
        <v>默认跪拜换取帮助；消息开始外泄</v>
      </c>
      <c r="E107" s="25">
        <f>SUMIFS($O$5:O106,$A$5:$A106,A107)</f>
        <v>0</v>
      </c>
      <c r="F107" s="25">
        <f>SUMIFS($P$5:P106,$A$5:$A106,A107)</f>
        <v>0</v>
      </c>
      <c r="G107" s="25">
        <f>SUMIFS($Q$5:Q106,$A$5:$A106,A107)</f>
        <v>2</v>
      </c>
      <c r="H107" s="25">
        <f>SUMIFS($R$5:R106,$A$5:$A106,A107)</f>
        <v>1</v>
      </c>
      <c r="I107" s="25">
        <f>SUMIFS($S$5:S106,$A$5:$A106,A107)</f>
        <v>0</v>
      </c>
      <c r="J107" s="25">
        <f>SUMIFS($T$5:T106,$A$5:$A106,A107)</f>
        <v>0</v>
      </c>
      <c r="K107" s="25">
        <f>SUMIFS($U$5:U106,$A$5:$A106,A107)</f>
        <v>0</v>
      </c>
      <c r="L107" s="25">
        <f>SUMIFS($V$5:V106,$A$5:$A106,A107)</f>
        <v>0</v>
      </c>
      <c r="M107" s="27" t="s">
        <v>723</v>
      </c>
      <c r="N107" s="26" t="str">
        <f>IF(COUNTIF('07数值索引'!$A$5:$A$80,C107)=1,"PASS","CHECK")</f>
        <v>PASS</v>
      </c>
      <c r="O107" s="26">
        <f>SUMIF('07数值索引'!$A$5:$A$80,C107,'07数值索引'!$D$5:$D$80)</f>
        <v>0</v>
      </c>
      <c r="P107" s="26">
        <f>SUMIF('07数值索引'!$A$5:$A$80,C107,'07数值索引'!$E$5:$E$80)</f>
        <v>1</v>
      </c>
      <c r="Q107" s="26">
        <f>SUMIF('07数值索引'!$A$5:$A$80,C107,'07数值索引'!$F$5:$F$80)</f>
        <v>-1</v>
      </c>
      <c r="R107" s="26">
        <f>SUMIF('07数值索引'!$A$5:$A$80,C107,'07数值索引'!$G$5:$G$80)</f>
        <v>1</v>
      </c>
      <c r="S107" s="26">
        <f>SUMIF('07数值索引'!$A$5:$A$80,C107,'07数值索引'!$M$5:$M$80)</f>
        <v>0</v>
      </c>
      <c r="T107" s="26">
        <f>SUMIF('07数值索引'!$A$5:$A$80,C107,'07数值索引'!$H$5:$H$80)</f>
        <v>0</v>
      </c>
      <c r="U107" s="26">
        <f>SUMIF('07数值索引'!$A$5:$A$80,C107,'07数值索引'!$I$5:$I$80)</f>
        <v>0</v>
      </c>
      <c r="V107" s="26">
        <f>SUMIF('07数值索引'!$A$5:$A$80,C107,'07数值索引'!$J$5:$J$80)</f>
        <v>0</v>
      </c>
    </row>
    <row r="108" ht="29" spans="1:22">
      <c r="A108" s="24" t="s">
        <v>694</v>
      </c>
      <c r="B108" s="25">
        <v>4</v>
      </c>
      <c r="C108" s="26" t="s">
        <v>257</v>
      </c>
      <c r="D108" s="26" t="str">
        <f>IFERROR(VLOOKUP(C108,'07数值索引'!$A$5:$S$80,19,FALSE),"未找到事件")</f>
        <v>阿芸以训练过的声音维持秩序，阿禾分粮；救助变快，但阿禾开始警惕</v>
      </c>
      <c r="E108" s="25">
        <f>SUMIFS($O$5:O107,$A$5:$A107,A108)</f>
        <v>0</v>
      </c>
      <c r="F108" s="25">
        <f>SUMIFS($P$5:P107,$A$5:$A107,A108)</f>
        <v>1</v>
      </c>
      <c r="G108" s="25">
        <f>SUMIFS($Q$5:Q107,$A$5:$A107,A108)</f>
        <v>1</v>
      </c>
      <c r="H108" s="25">
        <f>SUMIFS($R$5:R107,$A$5:$A107,A108)</f>
        <v>2</v>
      </c>
      <c r="I108" s="25">
        <f>SUMIFS($S$5:S107,$A$5:$A107,A108)</f>
        <v>0</v>
      </c>
      <c r="J108" s="25">
        <f>SUMIFS($T$5:T107,$A$5:$A107,A108)</f>
        <v>0</v>
      </c>
      <c r="K108" s="25">
        <f>SUMIFS($U$5:U107,$A$5:$A107,A108)</f>
        <v>0</v>
      </c>
      <c r="L108" s="25">
        <f>SUMIFS($V$5:V107,$A$5:$A107,A108)</f>
        <v>0</v>
      </c>
      <c r="M108" s="27" t="s">
        <v>723</v>
      </c>
      <c r="N108" s="26" t="str">
        <f>IF(COUNTIF('07数值索引'!$A$5:$A$80,C108)=1,"PASS","CHECK")</f>
        <v>PASS</v>
      </c>
      <c r="O108" s="26">
        <f>SUMIF('07数值索引'!$A$5:$A$80,C108,'07数值索引'!$D$5:$D$80)</f>
        <v>1</v>
      </c>
      <c r="P108" s="26">
        <f>SUMIF('07数值索引'!$A$5:$A$80,C108,'07数值索引'!$E$5:$E$80)</f>
        <v>1</v>
      </c>
      <c r="Q108" s="26">
        <f>SUMIF('07数值索引'!$A$5:$A$80,C108,'07数值索引'!$F$5:$F$80)</f>
        <v>0</v>
      </c>
      <c r="R108" s="26">
        <f>SUMIF('07数值索引'!$A$5:$A$80,C108,'07数值索引'!$G$5:$G$80)</f>
        <v>1</v>
      </c>
      <c r="S108" s="26">
        <f>SUMIF('07数值索引'!$A$5:$A$80,C108,'07数值索引'!$M$5:$M$80)</f>
        <v>0</v>
      </c>
      <c r="T108" s="26">
        <f>SUMIF('07数值索引'!$A$5:$A$80,C108,'07数值索引'!$H$5:$H$80)</f>
        <v>0</v>
      </c>
      <c r="U108" s="26">
        <f>SUMIF('07数值索引'!$A$5:$A$80,C108,'07数值索引'!$I$5:$I$80)</f>
        <v>0</v>
      </c>
      <c r="V108" s="26">
        <f>SUMIF('07数值索引'!$A$5:$A$80,C108,'07数值索引'!$J$5:$J$80)</f>
        <v>0</v>
      </c>
    </row>
    <row r="109" ht="14.5" spans="1:22">
      <c r="A109" s="24" t="s">
        <v>694</v>
      </c>
      <c r="B109" s="25">
        <v>5</v>
      </c>
      <c r="C109" s="26" t="s">
        <v>187</v>
      </c>
      <c r="D109" s="26" t="str">
        <f>IFERROR(VLOOKUP(C109,'07数值索引'!$A$5:$S$80,19,FALSE),"未找到事件")</f>
        <v>沉默并交出名单</v>
      </c>
      <c r="E109" s="25">
        <f>SUMIFS($O$5:O108,$A$5:$A108,A109)</f>
        <v>1</v>
      </c>
      <c r="F109" s="25">
        <f>SUMIFS($P$5:P108,$A$5:$A108,A109)</f>
        <v>2</v>
      </c>
      <c r="G109" s="25">
        <f>SUMIFS($Q$5:Q108,$A$5:$A108,A109)</f>
        <v>1</v>
      </c>
      <c r="H109" s="25">
        <f>SUMIFS($R$5:R108,$A$5:$A108,A109)</f>
        <v>3</v>
      </c>
      <c r="I109" s="25">
        <f>SUMIFS($S$5:S108,$A$5:$A108,A109)</f>
        <v>0</v>
      </c>
      <c r="J109" s="25">
        <f>SUMIFS($T$5:T108,$A$5:$A108,A109)</f>
        <v>0</v>
      </c>
      <c r="K109" s="25">
        <f>SUMIFS($U$5:U108,$A$5:$A108,A109)</f>
        <v>0</v>
      </c>
      <c r="L109" s="25">
        <f>SUMIFS($V$5:V108,$A$5:$A108,A109)</f>
        <v>0</v>
      </c>
      <c r="M109" s="27" t="s">
        <v>723</v>
      </c>
      <c r="N109" s="26" t="str">
        <f>IF(COUNTIF('07数值索引'!$A$5:$A$80,C109)=1,"PASS","CHECK")</f>
        <v>PASS</v>
      </c>
      <c r="O109" s="26">
        <f>SUMIF('07数值索引'!$A$5:$A$80,C109,'07数值索引'!$D$5:$D$80)</f>
        <v>2</v>
      </c>
      <c r="P109" s="26">
        <f>SUMIF('07数值索引'!$A$5:$A$80,C109,'07数值索引'!$E$5:$E$80)</f>
        <v>0</v>
      </c>
      <c r="Q109" s="26">
        <f>SUMIF('07数值索引'!$A$5:$A$80,C109,'07数值索引'!$F$5:$F$80)</f>
        <v>1</v>
      </c>
      <c r="R109" s="26">
        <f>SUMIF('07数值索引'!$A$5:$A$80,C109,'07数值索引'!$G$5:$G$80)</f>
        <v>0</v>
      </c>
      <c r="S109" s="26">
        <f>SUMIF('07数值索引'!$A$5:$A$80,C109,'07数值索引'!$M$5:$M$80)</f>
        <v>0</v>
      </c>
      <c r="T109" s="26">
        <f>SUMIF('07数值索引'!$A$5:$A$80,C109,'07数值索引'!$H$5:$H$80)</f>
        <v>0</v>
      </c>
      <c r="U109" s="26">
        <f>SUMIF('07数值索引'!$A$5:$A$80,C109,'07数值索引'!$I$5:$I$80)</f>
        <v>0</v>
      </c>
      <c r="V109" s="26">
        <f>SUMIF('07数值索引'!$A$5:$A$80,C109,'07数值索引'!$J$5:$J$80)</f>
        <v>0</v>
      </c>
    </row>
    <row r="110" ht="14.5" spans="1:22">
      <c r="A110" s="24" t="s">
        <v>694</v>
      </c>
      <c r="B110" s="25">
        <v>6</v>
      </c>
      <c r="C110" s="26" t="s">
        <v>197</v>
      </c>
      <c r="D110" s="26" t="str">
        <f>IFERROR(VLOOKUP(C110,'07数值索引'!$A$5:$S$80,19,FALSE),"未找到事件")</f>
        <v>承认说过，但强调自己不知道会死人</v>
      </c>
      <c r="E110" s="25">
        <f>SUMIFS($O$5:O109,$A$5:$A109,A110)</f>
        <v>3</v>
      </c>
      <c r="F110" s="25">
        <f>SUMIFS($P$5:P109,$A$5:$A109,A110)</f>
        <v>2</v>
      </c>
      <c r="G110" s="25">
        <f>SUMIFS($Q$5:Q109,$A$5:$A109,A110)</f>
        <v>2</v>
      </c>
      <c r="H110" s="25">
        <f>SUMIFS($R$5:R109,$A$5:$A109,A110)</f>
        <v>3</v>
      </c>
      <c r="I110" s="25">
        <f>SUMIFS($S$5:S109,$A$5:$A109,A110)</f>
        <v>0</v>
      </c>
      <c r="J110" s="25">
        <f>SUMIFS($T$5:T109,$A$5:$A109,A110)</f>
        <v>0</v>
      </c>
      <c r="K110" s="25">
        <f>SUMIFS($U$5:U109,$A$5:$A109,A110)</f>
        <v>0</v>
      </c>
      <c r="L110" s="25">
        <f>SUMIFS($V$5:V109,$A$5:$A109,A110)</f>
        <v>0</v>
      </c>
      <c r="M110" s="27" t="s">
        <v>723</v>
      </c>
      <c r="N110" s="26" t="str">
        <f>IF(COUNTIF('07数值索引'!$A$5:$A$80,C110)=1,"PASS","CHECK")</f>
        <v>PASS</v>
      </c>
      <c r="O110" s="26">
        <f>SUMIF('07数值索引'!$A$5:$A$80,C110,'07数值索引'!$D$5:$D$80)</f>
        <v>0</v>
      </c>
      <c r="P110" s="26">
        <f>SUMIF('07数值索引'!$A$5:$A$80,C110,'07数值索引'!$E$5:$E$80)</f>
        <v>0</v>
      </c>
      <c r="Q110" s="26">
        <f>SUMIF('07数值索引'!$A$5:$A$80,C110,'07数值索引'!$F$5:$F$80)</f>
        <v>-1</v>
      </c>
      <c r="R110" s="26">
        <f>SUMIF('07数值索引'!$A$5:$A$80,C110,'07数值索引'!$G$5:$G$80)</f>
        <v>0</v>
      </c>
      <c r="S110" s="26">
        <f>SUMIF('07数值索引'!$A$5:$A$80,C110,'07数值索引'!$M$5:$M$80)</f>
        <v>0</v>
      </c>
      <c r="T110" s="26">
        <f>SUMIF('07数值索引'!$A$5:$A$80,C110,'07数值索引'!$H$5:$H$80)</f>
        <v>0</v>
      </c>
      <c r="U110" s="26">
        <f>SUMIF('07数值索引'!$A$5:$A$80,C110,'07数值索引'!$I$5:$I$80)</f>
        <v>0</v>
      </c>
      <c r="V110" s="26">
        <f>SUMIF('07数值索引'!$A$5:$A$80,C110,'07数值索引'!$J$5:$J$80)</f>
        <v>0</v>
      </c>
    </row>
    <row r="111" ht="14.5" spans="1:22">
      <c r="A111" s="24" t="s">
        <v>694</v>
      </c>
      <c r="B111" s="25">
        <v>7</v>
      </c>
      <c r="C111" s="26" t="s">
        <v>450</v>
      </c>
      <c r="D111" s="26" t="str">
        <f>IFERROR(VLOOKUP(C111,'07数值索引'!$A$5:$S$80,19,FALSE),"未找到事件")</f>
        <v>阿芸亲自公开账簿；证据公开，但解释权仍集中在她口中</v>
      </c>
      <c r="E111" s="25">
        <f>SUMIFS($O$5:O110,$A$5:$A110,A111)</f>
        <v>3</v>
      </c>
      <c r="F111" s="25">
        <f>SUMIFS($P$5:P110,$A$5:$A110,A111)</f>
        <v>2</v>
      </c>
      <c r="G111" s="25">
        <f>SUMIFS($Q$5:Q110,$A$5:$A110,A111)</f>
        <v>1</v>
      </c>
      <c r="H111" s="25">
        <f>SUMIFS($R$5:R110,$A$5:$A110,A111)</f>
        <v>3</v>
      </c>
      <c r="I111" s="25">
        <f>SUMIFS($S$5:S110,$A$5:$A110,A111)</f>
        <v>0</v>
      </c>
      <c r="J111" s="25">
        <f>SUMIFS($T$5:T110,$A$5:$A110,A111)</f>
        <v>0</v>
      </c>
      <c r="K111" s="25">
        <f>SUMIFS($U$5:U110,$A$5:$A110,A111)</f>
        <v>0</v>
      </c>
      <c r="L111" s="25">
        <f>SUMIFS($V$5:V110,$A$5:$A110,A111)</f>
        <v>0</v>
      </c>
      <c r="M111" s="27" t="s">
        <v>723</v>
      </c>
      <c r="N111" s="26" t="str">
        <f>IF(COUNTIF('07数值索引'!$A$5:$A$80,C111)=1,"PASS","CHECK")</f>
        <v>PASS</v>
      </c>
      <c r="O111" s="26">
        <f>SUMIF('07数值索引'!$A$5:$A$80,C111,'07数值索引'!$D$5:$D$80)</f>
        <v>1</v>
      </c>
      <c r="P111" s="26">
        <f>SUMIF('07数值索引'!$A$5:$A$80,C111,'07数值索引'!$E$5:$E$80)</f>
        <v>2</v>
      </c>
      <c r="Q111" s="26">
        <f>SUMIF('07数值索引'!$A$5:$A$80,C111,'07数值索引'!$F$5:$F$80)</f>
        <v>0</v>
      </c>
      <c r="R111" s="26">
        <f>SUMIF('07数值索引'!$A$5:$A$80,C111,'07数值索引'!$G$5:$G$80)</f>
        <v>1</v>
      </c>
      <c r="S111" s="26">
        <f>SUMIF('07数值索引'!$A$5:$A$80,C111,'07数值索引'!$M$5:$M$80)</f>
        <v>0</v>
      </c>
      <c r="T111" s="26">
        <f>SUMIF('07数值索引'!$A$5:$A$80,C111,'07数值索引'!$H$5:$H$80)</f>
        <v>1</v>
      </c>
      <c r="U111" s="26">
        <f>SUMIF('07数值索引'!$A$5:$A$80,C111,'07数值索引'!$I$5:$I$80)</f>
        <v>0</v>
      </c>
      <c r="V111" s="26">
        <f>SUMIF('07数值索引'!$A$5:$A$80,C111,'07数值索引'!$J$5:$J$80)</f>
        <v>0</v>
      </c>
    </row>
    <row r="112" ht="14.5" spans="1:22">
      <c r="A112" s="24" t="s">
        <v>694</v>
      </c>
      <c r="B112" s="25">
        <v>8</v>
      </c>
      <c r="C112" s="26" t="s">
        <v>467</v>
      </c>
      <c r="D112" s="26" t="str">
        <f>IFERROR(VLOOKUP(C112,'07数值索引'!$A$5:$S$80,19,FALSE),"未找到事件")</f>
        <v>保留自保筹码，不让真相抵达他人</v>
      </c>
      <c r="E112" s="25">
        <f>SUMIFS($O$5:O111,$A$5:$A111,A112)</f>
        <v>4</v>
      </c>
      <c r="F112" s="25">
        <f>SUMIFS($P$5:P111,$A$5:$A111,A112)</f>
        <v>4</v>
      </c>
      <c r="G112" s="25">
        <f>SUMIFS($Q$5:Q111,$A$5:$A111,A112)</f>
        <v>1</v>
      </c>
      <c r="H112" s="25">
        <f>SUMIFS($R$5:R111,$A$5:$A111,A112)</f>
        <v>4</v>
      </c>
      <c r="I112" s="25">
        <f>SUMIFS($S$5:S111,$A$5:$A111,A112)</f>
        <v>0</v>
      </c>
      <c r="J112" s="25">
        <f>SUMIFS($T$5:T111,$A$5:$A111,A112)</f>
        <v>1</v>
      </c>
      <c r="K112" s="25">
        <f>SUMIFS($U$5:U111,$A$5:$A111,A112)</f>
        <v>0</v>
      </c>
      <c r="L112" s="25">
        <f>SUMIFS($V$5:V111,$A$5:$A111,A112)</f>
        <v>0</v>
      </c>
      <c r="M112" s="27" t="s">
        <v>723</v>
      </c>
      <c r="N112" s="26" t="str">
        <f>IF(COUNTIF('07数值索引'!$A$5:$A$80,C112)=1,"PASS","CHECK")</f>
        <v>PASS</v>
      </c>
      <c r="O112" s="26">
        <f>SUMIF('07数值索引'!$A$5:$A$80,C112,'07数值索引'!$D$5:$D$80)</f>
        <v>-1</v>
      </c>
      <c r="P112" s="26">
        <f>SUMIF('07数值索引'!$A$5:$A$80,C112,'07数值索引'!$E$5:$E$80)</f>
        <v>0</v>
      </c>
      <c r="Q112" s="26">
        <f>SUMIF('07数值索引'!$A$5:$A$80,C112,'07数值索引'!$F$5:$F$80)</f>
        <v>0</v>
      </c>
      <c r="R112" s="26">
        <f>SUMIF('07数值索引'!$A$5:$A$80,C112,'07数值索引'!$G$5:$G$80)</f>
        <v>0</v>
      </c>
      <c r="S112" s="26">
        <f>SUMIF('07数值索引'!$A$5:$A$80,C112,'07数值索引'!$M$5:$M$80)</f>
        <v>0</v>
      </c>
      <c r="T112" s="26">
        <f>SUMIF('07数值索引'!$A$5:$A$80,C112,'07数值索引'!$H$5:$H$80)</f>
        <v>0</v>
      </c>
      <c r="U112" s="26">
        <f>SUMIF('07数值索引'!$A$5:$A$80,C112,'07数值索引'!$I$5:$I$80)</f>
        <v>1</v>
      </c>
      <c r="V112" s="26">
        <f>SUMIF('07数值索引'!$A$5:$A$80,C112,'07数值索引'!$J$5:$J$80)</f>
        <v>0</v>
      </c>
    </row>
    <row r="113" ht="14.5" spans="1:22">
      <c r="A113" s="24" t="s">
        <v>694</v>
      </c>
      <c r="B113" s="25">
        <v>9</v>
      </c>
      <c r="C113" s="26" t="s">
        <v>469</v>
      </c>
      <c r="D113" s="26" t="str">
        <f>IFERROR(VLOOKUP(C113,'07数值索引'!$A$5:$S$80,19,FALSE),"未找到事件")</f>
        <v>赃款成为迟到的补偿，但不兑换宽恕</v>
      </c>
      <c r="E113" s="25">
        <f>SUMIFS($O$5:O112,$A$5:$A112,A113)</f>
        <v>3</v>
      </c>
      <c r="F113" s="25">
        <f>SUMIFS($P$5:P112,$A$5:$A112,A113)</f>
        <v>4</v>
      </c>
      <c r="G113" s="25">
        <f>SUMIFS($Q$5:Q112,$A$5:$A112,A113)</f>
        <v>1</v>
      </c>
      <c r="H113" s="25">
        <f>SUMIFS($R$5:R112,$A$5:$A112,A113)</f>
        <v>4</v>
      </c>
      <c r="I113" s="25">
        <f>SUMIFS($S$5:S112,$A$5:$A112,A113)</f>
        <v>0</v>
      </c>
      <c r="J113" s="25">
        <f>SUMIFS($T$5:T112,$A$5:$A112,A113)</f>
        <v>1</v>
      </c>
      <c r="K113" s="25">
        <f>SUMIFS($U$5:U112,$A$5:$A112,A113)</f>
        <v>1</v>
      </c>
      <c r="L113" s="25">
        <f>SUMIFS($V$5:V112,$A$5:$A112,A113)</f>
        <v>0</v>
      </c>
      <c r="M113" s="27" t="s">
        <v>723</v>
      </c>
      <c r="N113" s="26" t="str">
        <f>IF(COUNTIF('07数值索引'!$A$5:$A$80,C113)=1,"PASS","CHECK")</f>
        <v>PASS</v>
      </c>
      <c r="O113" s="26">
        <f>SUMIF('07数值索引'!$A$5:$A$80,C113,'07数值索引'!$D$5:$D$80)</f>
        <v>2</v>
      </c>
      <c r="P113" s="26">
        <f>SUMIF('07数值索引'!$A$5:$A$80,C113,'07数值索引'!$E$5:$E$80)</f>
        <v>0</v>
      </c>
      <c r="Q113" s="26">
        <f>SUMIF('07数值索引'!$A$5:$A$80,C113,'07数值索引'!$F$5:$F$80)</f>
        <v>1</v>
      </c>
      <c r="R113" s="26">
        <f>SUMIF('07数值索引'!$A$5:$A$80,C113,'07数值索引'!$G$5:$G$80)</f>
        <v>0</v>
      </c>
      <c r="S113" s="26">
        <f>SUMIF('07数值索引'!$A$5:$A$80,C113,'07数值索引'!$M$5:$M$80)</f>
        <v>0</v>
      </c>
      <c r="T113" s="26">
        <f>SUMIF('07数值索引'!$A$5:$A$80,C113,'07数值索引'!$H$5:$H$80)</f>
        <v>0</v>
      </c>
      <c r="U113" s="26">
        <f>SUMIF('07数值索引'!$A$5:$A$80,C113,'07数值索引'!$I$5:$I$80)</f>
        <v>0</v>
      </c>
      <c r="V113" s="26">
        <f>SUMIF('07数值索引'!$A$5:$A$80,C113,'07数值索引'!$J$5:$J$80)</f>
        <v>0</v>
      </c>
    </row>
    <row r="114" ht="14.5" spans="1:22">
      <c r="A114" s="24" t="s">
        <v>694</v>
      </c>
      <c r="B114" s="25">
        <v>10</v>
      </c>
      <c r="C114" s="26" t="s">
        <v>484</v>
      </c>
      <c r="D114" s="26" t="str">
        <f>IFERROR(VLOOKUP(C114,'07数值索引'!$A$5:$S$80,19,FALSE),"未找到事件")</f>
        <v>调动信众并重新坐回丝线中央</v>
      </c>
      <c r="E114" s="25">
        <f>SUMIFS($O$5:O113,$A$5:$A113,A114)</f>
        <v>5</v>
      </c>
      <c r="F114" s="25">
        <f>SUMIFS($P$5:P113,$A$5:$A113,A114)</f>
        <v>4</v>
      </c>
      <c r="G114" s="25">
        <f>SUMIFS($Q$5:Q113,$A$5:$A113,A114)</f>
        <v>2</v>
      </c>
      <c r="H114" s="25">
        <f>SUMIFS($R$5:R113,$A$5:$A113,A114)</f>
        <v>4</v>
      </c>
      <c r="I114" s="25">
        <f>SUMIFS($S$5:S113,$A$5:$A113,A114)</f>
        <v>0</v>
      </c>
      <c r="J114" s="25">
        <f>SUMIFS($T$5:T113,$A$5:$A113,A114)</f>
        <v>1</v>
      </c>
      <c r="K114" s="25">
        <f>SUMIFS($U$5:U113,$A$5:$A113,A114)</f>
        <v>1</v>
      </c>
      <c r="L114" s="25">
        <f>SUMIFS($V$5:V113,$A$5:$A113,A114)</f>
        <v>0</v>
      </c>
      <c r="M114" s="27" t="s">
        <v>723</v>
      </c>
      <c r="N114" s="26" t="str">
        <f>IF(COUNTIF('07数值索引'!$A$5:$A$80,C114)=1,"PASS","CHECK")</f>
        <v>PASS</v>
      </c>
      <c r="O114" s="26">
        <f>SUMIF('07数值索引'!$A$5:$A$80,C114,'07数值索引'!$D$5:$D$80)</f>
        <v>0</v>
      </c>
      <c r="P114" s="26">
        <f>SUMIF('07数值索引'!$A$5:$A$80,C114,'07数值索引'!$E$5:$E$80)</f>
        <v>3</v>
      </c>
      <c r="Q114" s="26">
        <f>SUMIF('07数值索引'!$A$5:$A$80,C114,'07数值索引'!$F$5:$F$80)</f>
        <v>-2</v>
      </c>
      <c r="R114" s="26">
        <f>SUMIF('07数值索引'!$A$5:$A$80,C114,'07数值索引'!$G$5:$G$80)</f>
        <v>0</v>
      </c>
      <c r="S114" s="26">
        <f>SUMIF('07数值索引'!$A$5:$A$80,C114,'07数值索引'!$M$5:$M$80)</f>
        <v>0</v>
      </c>
      <c r="T114" s="26">
        <f>SUMIF('07数值索引'!$A$5:$A$80,C114,'07数值索引'!$H$5:$H$80)</f>
        <v>0</v>
      </c>
      <c r="U114" s="26">
        <f>SUMIF('07数值索引'!$A$5:$A$80,C114,'07数值索引'!$I$5:$I$80)</f>
        <v>0</v>
      </c>
      <c r="V114" s="26">
        <f>SUMIF('07数值索引'!$A$5:$A$80,C114,'07数值索引'!$J$5:$J$80)</f>
        <v>0</v>
      </c>
    </row>
    <row r="115" ht="14.5" spans="1:22">
      <c r="A115" s="24" t="s">
        <v>694</v>
      </c>
      <c r="B115" s="25">
        <v>11</v>
      </c>
      <c r="C115" s="26" t="s">
        <v>586</v>
      </c>
      <c r="D115" s="26" t="str">
        <f>IFERROR(VLOOKUP(C115,'07数值索引'!$A$5:$S$80,19,FALSE),"未找到事件")</f>
        <v>魏先进入县城，所有路线固定增加一次追捕压力</v>
      </c>
      <c r="E115" s="25">
        <f>SUMIFS($O$5:O114,$A$5:$A114,A115)</f>
        <v>5</v>
      </c>
      <c r="F115" s="25">
        <f>SUMIFS($P$5:P114,$A$5:$A114,A115)</f>
        <v>7</v>
      </c>
      <c r="G115" s="25">
        <f>SUMIFS($Q$5:Q114,$A$5:$A114,A115)</f>
        <v>0</v>
      </c>
      <c r="H115" s="25">
        <f>SUMIFS($R$5:R114,$A$5:$A114,A115)</f>
        <v>4</v>
      </c>
      <c r="I115" s="25">
        <f>SUMIFS($S$5:S114,$A$5:$A114,A115)</f>
        <v>0</v>
      </c>
      <c r="J115" s="25">
        <f>SUMIFS($T$5:T114,$A$5:$A114,A115)</f>
        <v>1</v>
      </c>
      <c r="K115" s="25">
        <f>SUMIFS($U$5:U114,$A$5:$A114,A115)</f>
        <v>1</v>
      </c>
      <c r="L115" s="25">
        <f>SUMIFS($V$5:V114,$A$5:$A114,A115)</f>
        <v>0</v>
      </c>
      <c r="M115" s="27" t="s">
        <v>723</v>
      </c>
      <c r="N115" s="26" t="str">
        <f>IF(COUNTIF('07数值索引'!$A$5:$A$80,C115)=1,"PASS","CHECK")</f>
        <v>PASS</v>
      </c>
      <c r="O115" s="26">
        <f>SUMIF('07数值索引'!$A$5:$A$80,C115,'07数值索引'!$D$5:$D$80)</f>
        <v>0</v>
      </c>
      <c r="P115" s="26">
        <f>SUMIF('07数值索引'!$A$5:$A$80,C115,'07数值索引'!$E$5:$E$80)</f>
        <v>0</v>
      </c>
      <c r="Q115" s="26">
        <f>SUMIF('07数值索引'!$A$5:$A$80,C115,'07数值索引'!$F$5:$F$80)</f>
        <v>0</v>
      </c>
      <c r="R115" s="26">
        <f>SUMIF('07数值索引'!$A$5:$A$80,C115,'07数值索引'!$G$5:$G$80)</f>
        <v>1</v>
      </c>
      <c r="S115" s="26">
        <f>SUMIF('07数值索引'!$A$5:$A$80,C115,'07数值索引'!$M$5:$M$80)</f>
        <v>0</v>
      </c>
      <c r="T115" s="26">
        <f>SUMIF('07数值索引'!$A$5:$A$80,C115,'07数值索引'!$H$5:$H$80)</f>
        <v>0</v>
      </c>
      <c r="U115" s="26">
        <f>SUMIF('07数值索引'!$A$5:$A$80,C115,'07数值索引'!$I$5:$I$80)</f>
        <v>0</v>
      </c>
      <c r="V115" s="26">
        <f>SUMIF('07数值索引'!$A$5:$A$80,C115,'07数值索引'!$J$5:$J$80)</f>
        <v>0</v>
      </c>
    </row>
    <row r="116" ht="14.5" spans="1:22">
      <c r="A116" s="24" t="s">
        <v>694</v>
      </c>
      <c r="B116" s="25">
        <v>12</v>
      </c>
      <c r="C116" s="26" t="s">
        <v>218</v>
      </c>
      <c r="D116" s="26" t="str">
        <f>IFERROR(VLOOKUP(C116,'07数值索引'!$A$5:$S$80,19,FALSE),"未找到事件")</f>
        <v>佩印并以神谕宣布魏先背叛神意</v>
      </c>
      <c r="E116" s="25">
        <f>SUMIFS($O$5:O115,$A$5:$A115,A116)</f>
        <v>5</v>
      </c>
      <c r="F116" s="25">
        <f>SUMIFS($P$5:P115,$A$5:$A115,A116)</f>
        <v>7</v>
      </c>
      <c r="G116" s="25">
        <f>SUMIFS($Q$5:Q115,$A$5:$A115,A116)</f>
        <v>0</v>
      </c>
      <c r="H116" s="25">
        <f>SUMIFS($R$5:R115,$A$5:$A115,A116)</f>
        <v>5</v>
      </c>
      <c r="I116" s="25">
        <f>SUMIFS($S$5:S115,$A$5:$A115,A116)</f>
        <v>0</v>
      </c>
      <c r="J116" s="25">
        <f>SUMIFS($T$5:T115,$A$5:$A115,A116)</f>
        <v>1</v>
      </c>
      <c r="K116" s="25">
        <f>SUMIFS($U$5:U115,$A$5:$A115,A116)</f>
        <v>1</v>
      </c>
      <c r="L116" s="25">
        <f>SUMIFS($V$5:V115,$A$5:$A115,A116)</f>
        <v>0</v>
      </c>
      <c r="M116" s="27" t="s">
        <v>727</v>
      </c>
      <c r="N116" s="26" t="str">
        <f>IF(AND(COUNTIF('07数值索引'!$A$5:$A$80,C116)=1,COUNTIFS($A$5:$A115,A116,$C$5:$C115,"K-SEAL-WEAR")&gt;0),"PASS","CHECK")</f>
        <v>PASS</v>
      </c>
      <c r="O116" s="26">
        <f>SUMIF('07数值索引'!$A$5:$A$80,C116,'07数值索引'!$D$5:$D$80)</f>
        <v>0</v>
      </c>
      <c r="P116" s="26">
        <f>SUMIF('07数值索引'!$A$5:$A$80,C116,'07数值索引'!$E$5:$E$80)</f>
        <v>3</v>
      </c>
      <c r="Q116" s="26">
        <f>SUMIF('07数值索引'!$A$5:$A$80,C116,'07数值索引'!$F$5:$F$80)</f>
        <v>0</v>
      </c>
      <c r="R116" s="26">
        <f>SUMIF('07数值索引'!$A$5:$A$80,C116,'07数值索引'!$G$5:$G$80)</f>
        <v>2</v>
      </c>
      <c r="S116" s="26">
        <f>SUMIF('07数值索引'!$A$5:$A$80,C116,'07数值索引'!$M$5:$M$80)</f>
        <v>0</v>
      </c>
      <c r="T116" s="26">
        <f>SUMIF('07数值索引'!$A$5:$A$80,C116,'07数值索引'!$H$5:$H$80)</f>
        <v>0</v>
      </c>
      <c r="U116" s="26">
        <f>SUMIF('07数值索引'!$A$5:$A$80,C116,'07数值索引'!$I$5:$I$80)</f>
        <v>0</v>
      </c>
      <c r="V116" s="26">
        <f>SUMIF('07数值索引'!$A$5:$A$80,C116,'07数值索引'!$J$5:$J$80)</f>
        <v>0</v>
      </c>
    </row>
    <row r="117" ht="14.5" spans="1:22">
      <c r="A117" s="24" t="s">
        <v>697</v>
      </c>
      <c r="B117" s="25">
        <v>1</v>
      </c>
      <c r="C117" s="26" t="s">
        <v>582</v>
      </c>
      <c r="D117" s="26" t="str">
        <f>IFERROR(VLOOKUP(C117,'07数值索引'!$A$5:$S$80,19,FALSE),"未找到事件")</f>
        <v>阿禾因救人而保留最低限度善意；追兵已在沿河搜索</v>
      </c>
      <c r="E117" s="25">
        <f t="shared" ref="E117:L117" si="11">0</f>
        <v>0</v>
      </c>
      <c r="F117" s="25">
        <f t="shared" si="11"/>
        <v>0</v>
      </c>
      <c r="G117" s="25">
        <f t="shared" si="11"/>
        <v>0</v>
      </c>
      <c r="H117" s="25">
        <f t="shared" si="11"/>
        <v>0</v>
      </c>
      <c r="I117" s="25">
        <f t="shared" si="11"/>
        <v>0</v>
      </c>
      <c r="J117" s="25">
        <f t="shared" si="11"/>
        <v>0</v>
      </c>
      <c r="K117" s="25">
        <f t="shared" si="11"/>
        <v>0</v>
      </c>
      <c r="L117" s="25">
        <f t="shared" si="11"/>
        <v>0</v>
      </c>
      <c r="M117" s="27" t="s">
        <v>723</v>
      </c>
      <c r="N117" s="26" t="str">
        <f>IF(COUNTIF('07数值索引'!$A$5:$A$80,C117)=1,"PASS","CHECK")</f>
        <v>PASS</v>
      </c>
      <c r="O117" s="26">
        <f>SUMIF('07数值索引'!$A$5:$A$80,C117,'07数值索引'!$D$5:$D$80)</f>
        <v>0</v>
      </c>
      <c r="P117" s="26">
        <f>SUMIF('07数值索引'!$A$5:$A$80,C117,'07数值索引'!$E$5:$E$80)</f>
        <v>0</v>
      </c>
      <c r="Q117" s="26">
        <f>SUMIF('07数值索引'!$A$5:$A$80,C117,'07数值索引'!$F$5:$F$80)</f>
        <v>1</v>
      </c>
      <c r="R117" s="26">
        <f>SUMIF('07数值索引'!$A$5:$A$80,C117,'07数值索引'!$G$5:$G$80)</f>
        <v>1</v>
      </c>
      <c r="S117" s="26">
        <f>SUMIF('07数值索引'!$A$5:$A$80,C117,'07数值索引'!$M$5:$M$80)</f>
        <v>0</v>
      </c>
      <c r="T117" s="26">
        <f>SUMIF('07数值索引'!$A$5:$A$80,C117,'07数值索引'!$H$5:$H$80)</f>
        <v>0</v>
      </c>
      <c r="U117" s="26">
        <f>SUMIF('07数值索引'!$A$5:$A$80,C117,'07数值索引'!$I$5:$I$80)</f>
        <v>0</v>
      </c>
      <c r="V117" s="26">
        <f>SUMIF('07数值索引'!$A$5:$A$80,C117,'07数值索引'!$J$5:$J$80)</f>
        <v>0</v>
      </c>
    </row>
    <row r="118" ht="14.5" spans="1:22">
      <c r="A118" s="24" t="s">
        <v>697</v>
      </c>
      <c r="B118" s="25">
        <v>2</v>
      </c>
      <c r="C118" s="26" t="s">
        <v>155</v>
      </c>
      <c r="D118" s="26" t="str">
        <f>IFERROR(VLOOKUP(C118,'07数值索引'!$A$5:$S$80,19,FALSE),"未找到事件")</f>
        <v>试探阿禾会不会交人</v>
      </c>
      <c r="E118" s="25">
        <f>SUMIFS($O$5:O117,$A$5:$A117,A118)</f>
        <v>0</v>
      </c>
      <c r="F118" s="25">
        <f>SUMIFS($P$5:P117,$A$5:$A117,A118)</f>
        <v>0</v>
      </c>
      <c r="G118" s="25">
        <f>SUMIFS($Q$5:Q117,$A$5:$A117,A118)</f>
        <v>1</v>
      </c>
      <c r="H118" s="25">
        <f>SUMIFS($R$5:R117,$A$5:$A117,A118)</f>
        <v>1</v>
      </c>
      <c r="I118" s="25">
        <f>SUMIFS($S$5:S117,$A$5:$A117,A118)</f>
        <v>0</v>
      </c>
      <c r="J118" s="25">
        <f>SUMIFS($T$5:T117,$A$5:$A117,A118)</f>
        <v>0</v>
      </c>
      <c r="K118" s="25">
        <f>SUMIFS($U$5:U117,$A$5:$A117,A118)</f>
        <v>0</v>
      </c>
      <c r="L118" s="25">
        <f>SUMIFS($V$5:V117,$A$5:$A117,A118)</f>
        <v>0</v>
      </c>
      <c r="M118" s="27" t="s">
        <v>723</v>
      </c>
      <c r="N118" s="26" t="str">
        <f>IF(COUNTIF('07数值索引'!$A$5:$A$80,C118)=1,"PASS","CHECK")</f>
        <v>PASS</v>
      </c>
      <c r="O118" s="26">
        <f>SUMIF('07数值索引'!$A$5:$A$80,C118,'07数值索引'!$D$5:$D$80)</f>
        <v>0</v>
      </c>
      <c r="P118" s="26">
        <f>SUMIF('07数值索引'!$A$5:$A$80,C118,'07数值索引'!$E$5:$E$80)</f>
        <v>0</v>
      </c>
      <c r="Q118" s="26">
        <f>SUMIF('07数值索引'!$A$5:$A$80,C118,'07数值索引'!$F$5:$F$80)</f>
        <v>0</v>
      </c>
      <c r="R118" s="26">
        <f>SUMIF('07数值索引'!$A$5:$A$80,C118,'07数值索引'!$G$5:$G$80)</f>
        <v>0</v>
      </c>
      <c r="S118" s="26">
        <f>SUMIF('07数值索引'!$A$5:$A$80,C118,'07数值索引'!$M$5:$M$80)</f>
        <v>0</v>
      </c>
      <c r="T118" s="26">
        <f>SUMIF('07数值索引'!$A$5:$A$80,C118,'07数值索引'!$H$5:$H$80)</f>
        <v>0</v>
      </c>
      <c r="U118" s="26">
        <f>SUMIF('07数值索引'!$A$5:$A$80,C118,'07数值索引'!$I$5:$I$80)</f>
        <v>0</v>
      </c>
      <c r="V118" s="26">
        <f>SUMIF('07数值索引'!$A$5:$A$80,C118,'07数值索引'!$J$5:$J$80)</f>
        <v>0</v>
      </c>
    </row>
    <row r="119" ht="14.5" spans="1:22">
      <c r="A119" s="24" t="s">
        <v>697</v>
      </c>
      <c r="B119" s="25">
        <v>3</v>
      </c>
      <c r="C119" s="26" t="s">
        <v>165</v>
      </c>
      <c r="D119" s="26" t="str">
        <f>IFERROR(VLOOKUP(C119,'07数值索引'!$A$5:$S$80,19,FALSE),"未找到事件")</f>
        <v>追问旧法会，保留判断</v>
      </c>
      <c r="E119" s="25">
        <f>SUMIFS($O$5:O118,$A$5:$A118,A119)</f>
        <v>0</v>
      </c>
      <c r="F119" s="25">
        <f>SUMIFS($P$5:P118,$A$5:$A118,A119)</f>
        <v>0</v>
      </c>
      <c r="G119" s="25">
        <f>SUMIFS($Q$5:Q118,$A$5:$A118,A119)</f>
        <v>1</v>
      </c>
      <c r="H119" s="25">
        <f>SUMIFS($R$5:R118,$A$5:$A118,A119)</f>
        <v>1</v>
      </c>
      <c r="I119" s="25">
        <f>SUMIFS($S$5:S118,$A$5:$A118,A119)</f>
        <v>0</v>
      </c>
      <c r="J119" s="25">
        <f>SUMIFS($T$5:T118,$A$5:$A118,A119)</f>
        <v>0</v>
      </c>
      <c r="K119" s="25">
        <f>SUMIFS($U$5:U118,$A$5:$A118,A119)</f>
        <v>0</v>
      </c>
      <c r="L119" s="25">
        <f>SUMIFS($V$5:V118,$A$5:$A118,A119)</f>
        <v>0</v>
      </c>
      <c r="M119" s="27" t="s">
        <v>723</v>
      </c>
      <c r="N119" s="26" t="str">
        <f>IF(COUNTIF('07数值索引'!$A$5:$A$80,C119)=1,"PASS","CHECK")</f>
        <v>PASS</v>
      </c>
      <c r="O119" s="26">
        <f>SUMIF('07数值索引'!$A$5:$A$80,C119,'07数值索引'!$D$5:$D$80)</f>
        <v>0</v>
      </c>
      <c r="P119" s="26">
        <f>SUMIF('07数值索引'!$A$5:$A$80,C119,'07数值索引'!$E$5:$E$80)</f>
        <v>0</v>
      </c>
      <c r="Q119" s="26">
        <f>SUMIF('07数值索引'!$A$5:$A$80,C119,'07数值索引'!$F$5:$F$80)</f>
        <v>0</v>
      </c>
      <c r="R119" s="26">
        <f>SUMIF('07数值索引'!$A$5:$A$80,C119,'07数值索引'!$G$5:$G$80)</f>
        <v>0</v>
      </c>
      <c r="S119" s="26">
        <f>SUMIF('07数值索引'!$A$5:$A$80,C119,'07数值索引'!$M$5:$M$80)</f>
        <v>0</v>
      </c>
      <c r="T119" s="26">
        <f>SUMIF('07数值索引'!$A$5:$A$80,C119,'07数值索引'!$H$5:$H$80)</f>
        <v>0</v>
      </c>
      <c r="U119" s="26">
        <f>SUMIF('07数值索引'!$A$5:$A$80,C119,'07数值索引'!$I$5:$I$80)</f>
        <v>0</v>
      </c>
      <c r="V119" s="26">
        <f>SUMIF('07数值索引'!$A$5:$A$80,C119,'07数值索引'!$J$5:$J$80)</f>
        <v>0</v>
      </c>
    </row>
    <row r="120" ht="14.5" spans="1:22">
      <c r="A120" s="24" t="s">
        <v>697</v>
      </c>
      <c r="B120" s="25">
        <v>4</v>
      </c>
      <c r="C120" s="26" t="s">
        <v>284</v>
      </c>
      <c r="D120" s="26" t="str">
        <f>IFERROR(VLOOKUP(C120,'07数值索引'!$A$5:$S$80,19,FALSE),"未找到事件")</f>
        <v>他趁乱开后门放粮，主角没有暴露，也得到接头线索</v>
      </c>
      <c r="E120" s="25">
        <f>SUMIFS($O$5:O119,$A$5:$A119,A120)</f>
        <v>0</v>
      </c>
      <c r="F120" s="25">
        <f>SUMIFS($P$5:P119,$A$5:$A119,A120)</f>
        <v>0</v>
      </c>
      <c r="G120" s="25">
        <f>SUMIFS($Q$5:Q119,$A$5:$A119,A120)</f>
        <v>1</v>
      </c>
      <c r="H120" s="25">
        <f>SUMIFS($R$5:R119,$A$5:$A119,A120)</f>
        <v>1</v>
      </c>
      <c r="I120" s="25">
        <f>SUMIFS($S$5:S119,$A$5:$A119,A120)</f>
        <v>0</v>
      </c>
      <c r="J120" s="25">
        <f>SUMIFS($T$5:T119,$A$5:$A119,A120)</f>
        <v>0</v>
      </c>
      <c r="K120" s="25">
        <f>SUMIFS($U$5:U119,$A$5:$A119,A120)</f>
        <v>0</v>
      </c>
      <c r="L120" s="25">
        <f>SUMIFS($V$5:V119,$A$5:$A119,A120)</f>
        <v>0</v>
      </c>
      <c r="M120" s="27" t="s">
        <v>723</v>
      </c>
      <c r="N120" s="26" t="str">
        <f>IF(COUNTIF('07数值索引'!$A$5:$A$80,C120)=1,"PASS","CHECK")</f>
        <v>PASS</v>
      </c>
      <c r="O120" s="26">
        <f>SUMIF('07数值索引'!$A$5:$A$80,C120,'07数值索引'!$D$5:$D$80)</f>
        <v>1</v>
      </c>
      <c r="P120" s="26">
        <f>SUMIF('07数值索引'!$A$5:$A$80,C120,'07数值索引'!$E$5:$E$80)</f>
        <v>0</v>
      </c>
      <c r="Q120" s="26">
        <f>SUMIF('07数值索引'!$A$5:$A$80,C120,'07数值索引'!$F$5:$F$80)</f>
        <v>0</v>
      </c>
      <c r="R120" s="26">
        <f>SUMIF('07数值索引'!$A$5:$A$80,C120,'07数值索引'!$G$5:$G$80)</f>
        <v>0</v>
      </c>
      <c r="S120" s="26">
        <f>SUMIF('07数值索引'!$A$5:$A$80,C120,'07数值索引'!$M$5:$M$80)</f>
        <v>1</v>
      </c>
      <c r="T120" s="26">
        <f>SUMIF('07数值索引'!$A$5:$A$80,C120,'07数值索引'!$H$5:$H$80)</f>
        <v>0</v>
      </c>
      <c r="U120" s="26">
        <f>SUMIF('07数值索引'!$A$5:$A$80,C120,'07数值索引'!$I$5:$I$80)</f>
        <v>0</v>
      </c>
      <c r="V120" s="26">
        <f>SUMIF('07数值索引'!$A$5:$A$80,C120,'07数值索引'!$J$5:$J$80)</f>
        <v>0</v>
      </c>
    </row>
    <row r="121" ht="14.5" spans="1:22">
      <c r="A121" s="24" t="s">
        <v>697</v>
      </c>
      <c r="B121" s="25">
        <v>5</v>
      </c>
      <c r="C121" s="26" t="s">
        <v>183</v>
      </c>
      <c r="D121" s="26" t="str">
        <f>IFERROR(VLOOKUP(C121,'07数值索引'!$A$5:$S$80,19,FALSE),"未找到事件")</f>
        <v>告诉阿禾名单上有她的名字</v>
      </c>
      <c r="E121" s="25">
        <f>SUMIFS($O$5:O120,$A$5:$A120,A121)</f>
        <v>1</v>
      </c>
      <c r="F121" s="25">
        <f>SUMIFS($P$5:P120,$A$5:$A120,A121)</f>
        <v>0</v>
      </c>
      <c r="G121" s="25">
        <f>SUMIFS($Q$5:Q120,$A$5:$A120,A121)</f>
        <v>1</v>
      </c>
      <c r="H121" s="25">
        <f>SUMIFS($R$5:R120,$A$5:$A120,A121)</f>
        <v>1</v>
      </c>
      <c r="I121" s="25">
        <f>SUMIFS($S$5:S120,$A$5:$A120,A121)</f>
        <v>1</v>
      </c>
      <c r="J121" s="25">
        <f>SUMIFS($T$5:T120,$A$5:$A120,A121)</f>
        <v>0</v>
      </c>
      <c r="K121" s="25">
        <f>SUMIFS($U$5:U120,$A$5:$A120,A121)</f>
        <v>0</v>
      </c>
      <c r="L121" s="25">
        <f>SUMIFS($V$5:V120,$A$5:$A120,A121)</f>
        <v>0</v>
      </c>
      <c r="M121" s="27" t="s">
        <v>723</v>
      </c>
      <c r="N121" s="26" t="str">
        <f>IF(COUNTIF('07数值索引'!$A$5:$A$80,C121)=1,"PASS","CHECK")</f>
        <v>PASS</v>
      </c>
      <c r="O121" s="26">
        <f>SUMIF('07数值索引'!$A$5:$A$80,C121,'07数值索引'!$D$5:$D$80)</f>
        <v>1</v>
      </c>
      <c r="P121" s="26">
        <f>SUMIF('07数值索引'!$A$5:$A$80,C121,'07数值索引'!$E$5:$E$80)</f>
        <v>0</v>
      </c>
      <c r="Q121" s="26">
        <f>SUMIF('07数值索引'!$A$5:$A$80,C121,'07数值索引'!$F$5:$F$80)</f>
        <v>1</v>
      </c>
      <c r="R121" s="26">
        <f>SUMIF('07数值索引'!$A$5:$A$80,C121,'07数值索引'!$G$5:$G$80)</f>
        <v>0</v>
      </c>
      <c r="S121" s="26">
        <f>SUMIF('07数值索引'!$A$5:$A$80,C121,'07数值索引'!$M$5:$M$80)</f>
        <v>0</v>
      </c>
      <c r="T121" s="26">
        <f>SUMIF('07数值索引'!$A$5:$A$80,C121,'07数值索引'!$H$5:$H$80)</f>
        <v>0</v>
      </c>
      <c r="U121" s="26">
        <f>SUMIF('07数值索引'!$A$5:$A$80,C121,'07数值索引'!$I$5:$I$80)</f>
        <v>0</v>
      </c>
      <c r="V121" s="26">
        <f>SUMIF('07数值索引'!$A$5:$A$80,C121,'07数值索引'!$J$5:$J$80)</f>
        <v>0</v>
      </c>
    </row>
    <row r="122" ht="14.5" spans="1:22">
      <c r="A122" s="24" t="s">
        <v>697</v>
      </c>
      <c r="B122" s="25">
        <v>6</v>
      </c>
      <c r="C122" s="26" t="s">
        <v>191</v>
      </c>
      <c r="D122" s="26" t="str">
        <f>IFERROR(VLOOKUP(C122,'07数值索引'!$A$5:$S$80,19,FALSE),"未找到事件")</f>
        <v>完整承认由自己提出并下令划名</v>
      </c>
      <c r="E122" s="25">
        <f>SUMIFS($O$5:O121,$A$5:$A121,A122)</f>
        <v>2</v>
      </c>
      <c r="F122" s="25">
        <f>SUMIFS($P$5:P121,$A$5:$A121,A122)</f>
        <v>0</v>
      </c>
      <c r="G122" s="25">
        <f>SUMIFS($Q$5:Q121,$A$5:$A121,A122)</f>
        <v>2</v>
      </c>
      <c r="H122" s="25">
        <f>SUMIFS($R$5:R121,$A$5:$A121,A122)</f>
        <v>1</v>
      </c>
      <c r="I122" s="25">
        <f>SUMIFS($S$5:S121,$A$5:$A121,A122)</f>
        <v>1</v>
      </c>
      <c r="J122" s="25">
        <f>SUMIFS($T$5:T121,$A$5:$A121,A122)</f>
        <v>0</v>
      </c>
      <c r="K122" s="25">
        <f>SUMIFS($U$5:U121,$A$5:$A121,A122)</f>
        <v>0</v>
      </c>
      <c r="L122" s="25">
        <f>SUMIFS($V$5:V121,$A$5:$A121,A122)</f>
        <v>0</v>
      </c>
      <c r="M122" s="27" t="s">
        <v>723</v>
      </c>
      <c r="N122" s="26" t="str">
        <f>IF(COUNTIF('07数值索引'!$A$5:$A$80,C122)=1,"PASS","CHECK")</f>
        <v>PASS</v>
      </c>
      <c r="O122" s="26">
        <f>SUMIF('07数值索引'!$A$5:$A$80,C122,'07数值索引'!$D$5:$D$80)</f>
        <v>3</v>
      </c>
      <c r="P122" s="26">
        <f>SUMIF('07数值索引'!$A$5:$A$80,C122,'07数值索引'!$E$5:$E$80)</f>
        <v>0</v>
      </c>
      <c r="Q122" s="26">
        <f>SUMIF('07数值索引'!$A$5:$A$80,C122,'07数值索引'!$F$5:$F$80)</f>
        <v>1</v>
      </c>
      <c r="R122" s="26">
        <f>SUMIF('07数值索引'!$A$5:$A$80,C122,'07数值索引'!$G$5:$G$80)</f>
        <v>0</v>
      </c>
      <c r="S122" s="26">
        <f>SUMIF('07数值索引'!$A$5:$A$80,C122,'07数值索引'!$M$5:$M$80)</f>
        <v>0</v>
      </c>
      <c r="T122" s="26">
        <f>SUMIF('07数值索引'!$A$5:$A$80,C122,'07数值索引'!$H$5:$H$80)</f>
        <v>0</v>
      </c>
      <c r="U122" s="26">
        <f>SUMIF('07数值索引'!$A$5:$A$80,C122,'07数值索引'!$I$5:$I$80)</f>
        <v>0</v>
      </c>
      <c r="V122" s="26">
        <f>SUMIF('07数值索引'!$A$5:$A$80,C122,'07数值索引'!$J$5:$J$80)</f>
        <v>0</v>
      </c>
    </row>
    <row r="123" ht="14.5" spans="1:22">
      <c r="A123" s="24" t="s">
        <v>697</v>
      </c>
      <c r="B123" s="25">
        <v>7</v>
      </c>
      <c r="C123" s="26" t="s">
        <v>446</v>
      </c>
      <c r="D123" s="26" t="str">
        <f>IFERROR(VLOOKUP(C123,'07数值索引'!$A$5:$S$80,19,FALSE),"未找到事件")</f>
        <v>罪证进入结构性行动；主角不自动加入义军</v>
      </c>
      <c r="E123" s="25">
        <f>SUMIFS($O$5:O122,$A$5:$A122,A123)</f>
        <v>5</v>
      </c>
      <c r="F123" s="25">
        <f>SUMIFS($P$5:P122,$A$5:$A122,A123)</f>
        <v>0</v>
      </c>
      <c r="G123" s="25">
        <f>SUMIFS($Q$5:Q122,$A$5:$A122,A123)</f>
        <v>3</v>
      </c>
      <c r="H123" s="25">
        <f>SUMIFS($R$5:R122,$A$5:$A122,A123)</f>
        <v>1</v>
      </c>
      <c r="I123" s="25">
        <f>SUMIFS($S$5:S122,$A$5:$A122,A123)</f>
        <v>1</v>
      </c>
      <c r="J123" s="25">
        <f>SUMIFS($T$5:T122,$A$5:$A122,A123)</f>
        <v>0</v>
      </c>
      <c r="K123" s="25">
        <f>SUMIFS($U$5:U122,$A$5:$A122,A123)</f>
        <v>0</v>
      </c>
      <c r="L123" s="25">
        <f>SUMIFS($V$5:V122,$A$5:$A122,A123)</f>
        <v>0</v>
      </c>
      <c r="M123" s="27" t="s">
        <v>726</v>
      </c>
      <c r="N123" s="26" t="str">
        <f>IF(AND(COUNTIF('07数值索引'!$A$5:$A$80,C123)=1,I123&gt;=1),"PASS","CHECK")</f>
        <v>PASS</v>
      </c>
      <c r="O123" s="26">
        <f>SUMIF('07数值索引'!$A$5:$A$80,C123,'07数值索引'!$D$5:$D$80)</f>
        <v>2</v>
      </c>
      <c r="P123" s="26">
        <f>SUMIF('07数值索引'!$A$5:$A$80,C123,'07数值索引'!$E$5:$E$80)</f>
        <v>0</v>
      </c>
      <c r="Q123" s="26">
        <f>SUMIF('07数值索引'!$A$5:$A$80,C123,'07数值索引'!$F$5:$F$80)</f>
        <v>0</v>
      </c>
      <c r="R123" s="26">
        <f>SUMIF('07数值索引'!$A$5:$A$80,C123,'07数值索引'!$G$5:$G$80)</f>
        <v>0</v>
      </c>
      <c r="S123" s="26">
        <f>SUMIF('07数值索引'!$A$5:$A$80,C123,'07数值索引'!$M$5:$M$80)</f>
        <v>1</v>
      </c>
      <c r="T123" s="26">
        <f>SUMIF('07数值索引'!$A$5:$A$80,C123,'07数值索引'!$H$5:$H$80)</f>
        <v>1</v>
      </c>
      <c r="U123" s="26">
        <f>SUMIF('07数值索引'!$A$5:$A$80,C123,'07数值索引'!$I$5:$I$80)</f>
        <v>0</v>
      </c>
      <c r="V123" s="26">
        <f>SUMIF('07数值索引'!$A$5:$A$80,C123,'07数值索引'!$J$5:$J$80)</f>
        <v>0</v>
      </c>
    </row>
    <row r="124" ht="14.5" spans="1:22">
      <c r="A124" s="24" t="s">
        <v>697</v>
      </c>
      <c r="B124" s="25">
        <v>8</v>
      </c>
      <c r="C124" s="26" t="s">
        <v>461</v>
      </c>
      <c r="D124" s="26" t="str">
        <f>IFERROR(VLOOKUP(C124,'07数值索引'!$A$5:$S$80,19,FALSE),"未找到事件")</f>
        <v>揭露殉道计划与裴家关系</v>
      </c>
      <c r="E124" s="25">
        <f>SUMIFS($O$5:O123,$A$5:$A123,A124)</f>
        <v>7</v>
      </c>
      <c r="F124" s="25">
        <f>SUMIFS($P$5:P123,$A$5:$A123,A124)</f>
        <v>0</v>
      </c>
      <c r="G124" s="25">
        <f>SUMIFS($Q$5:Q123,$A$5:$A123,A124)</f>
        <v>3</v>
      </c>
      <c r="H124" s="25">
        <f>SUMIFS($R$5:R123,$A$5:$A123,A124)</f>
        <v>1</v>
      </c>
      <c r="I124" s="25">
        <f>SUMIFS($S$5:S123,$A$5:$A123,A124)</f>
        <v>2</v>
      </c>
      <c r="J124" s="25">
        <f>SUMIFS($T$5:T123,$A$5:$A123,A124)</f>
        <v>1</v>
      </c>
      <c r="K124" s="25">
        <f>SUMIFS($U$5:U123,$A$5:$A123,A124)</f>
        <v>0</v>
      </c>
      <c r="L124" s="25">
        <f>SUMIFS($V$5:V123,$A$5:$A123,A124)</f>
        <v>0</v>
      </c>
      <c r="M124" s="27" t="s">
        <v>726</v>
      </c>
      <c r="N124" s="26" t="str">
        <f>IF(AND(COUNTIF('07数值索引'!$A$5:$A$80,C124)=1,I124&gt;=1),"PASS","CHECK")</f>
        <v>PASS</v>
      </c>
      <c r="O124" s="26">
        <f>SUMIF('07数值索引'!$A$5:$A$80,C124,'07数值索引'!$D$5:$D$80)</f>
        <v>2</v>
      </c>
      <c r="P124" s="26">
        <f>SUMIF('07数值索引'!$A$5:$A$80,C124,'07数值索引'!$E$5:$E$80)</f>
        <v>0</v>
      </c>
      <c r="Q124" s="26">
        <f>SUMIF('07数值索引'!$A$5:$A$80,C124,'07数值索引'!$F$5:$F$80)</f>
        <v>0</v>
      </c>
      <c r="R124" s="26">
        <f>SUMIF('07数值索引'!$A$5:$A$80,C124,'07数值索引'!$G$5:$G$80)</f>
        <v>0</v>
      </c>
      <c r="S124" s="26">
        <f>SUMIF('07数值索引'!$A$5:$A$80,C124,'07数值索引'!$M$5:$M$80)</f>
        <v>1</v>
      </c>
      <c r="T124" s="26">
        <f>SUMIF('07数值索引'!$A$5:$A$80,C124,'07数值索引'!$H$5:$H$80)</f>
        <v>1</v>
      </c>
      <c r="U124" s="26">
        <f>SUMIF('07数值索引'!$A$5:$A$80,C124,'07数值索引'!$I$5:$I$80)</f>
        <v>0</v>
      </c>
      <c r="V124" s="26">
        <f>SUMIF('07数值索引'!$A$5:$A$80,C124,'07数值索引'!$J$5:$J$80)</f>
        <v>0</v>
      </c>
    </row>
    <row r="125" ht="14.5" spans="1:22">
      <c r="A125" s="24" t="s">
        <v>697</v>
      </c>
      <c r="B125" s="25">
        <v>9</v>
      </c>
      <c r="C125" s="26" t="s">
        <v>469</v>
      </c>
      <c r="D125" s="26" t="str">
        <f>IFERROR(VLOOKUP(C125,'07数值索引'!$A$5:$S$80,19,FALSE),"未找到事件")</f>
        <v>赃款成为迟到的补偿，但不兑换宽恕</v>
      </c>
      <c r="E125" s="25">
        <f>SUMIFS($O$5:O124,$A$5:$A124,A125)</f>
        <v>9</v>
      </c>
      <c r="F125" s="25">
        <f>SUMIFS($P$5:P124,$A$5:$A124,A125)</f>
        <v>0</v>
      </c>
      <c r="G125" s="25">
        <f>SUMIFS($Q$5:Q124,$A$5:$A124,A125)</f>
        <v>3</v>
      </c>
      <c r="H125" s="25">
        <f>SUMIFS($R$5:R124,$A$5:$A124,A125)</f>
        <v>1</v>
      </c>
      <c r="I125" s="25">
        <f>SUMIFS($S$5:S124,$A$5:$A124,A125)</f>
        <v>3</v>
      </c>
      <c r="J125" s="25">
        <f>SUMIFS($T$5:T124,$A$5:$A124,A125)</f>
        <v>2</v>
      </c>
      <c r="K125" s="25">
        <f>SUMIFS($U$5:U124,$A$5:$A124,A125)</f>
        <v>0</v>
      </c>
      <c r="L125" s="25">
        <f>SUMIFS($V$5:V124,$A$5:$A124,A125)</f>
        <v>0</v>
      </c>
      <c r="M125" s="27" t="s">
        <v>723</v>
      </c>
      <c r="N125" s="26" t="str">
        <f>IF(COUNTIF('07数值索引'!$A$5:$A$80,C125)=1,"PASS","CHECK")</f>
        <v>PASS</v>
      </c>
      <c r="O125" s="26">
        <f>SUMIF('07数值索引'!$A$5:$A$80,C125,'07数值索引'!$D$5:$D$80)</f>
        <v>2</v>
      </c>
      <c r="P125" s="26">
        <f>SUMIF('07数值索引'!$A$5:$A$80,C125,'07数值索引'!$E$5:$E$80)</f>
        <v>0</v>
      </c>
      <c r="Q125" s="26">
        <f>SUMIF('07数值索引'!$A$5:$A$80,C125,'07数值索引'!$F$5:$F$80)</f>
        <v>1</v>
      </c>
      <c r="R125" s="26">
        <f>SUMIF('07数值索引'!$A$5:$A$80,C125,'07数值索引'!$G$5:$G$80)</f>
        <v>0</v>
      </c>
      <c r="S125" s="26">
        <f>SUMIF('07数值索引'!$A$5:$A$80,C125,'07数值索引'!$M$5:$M$80)</f>
        <v>0</v>
      </c>
      <c r="T125" s="26">
        <f>SUMIF('07数值索引'!$A$5:$A$80,C125,'07数值索引'!$H$5:$H$80)</f>
        <v>0</v>
      </c>
      <c r="U125" s="26">
        <f>SUMIF('07数值索引'!$A$5:$A$80,C125,'07数值索引'!$I$5:$I$80)</f>
        <v>0</v>
      </c>
      <c r="V125" s="26">
        <f>SUMIF('07数值索引'!$A$5:$A$80,C125,'07数值索引'!$J$5:$J$80)</f>
        <v>0</v>
      </c>
    </row>
    <row r="126" ht="14.5" spans="1:22">
      <c r="A126" s="24" t="s">
        <v>697</v>
      </c>
      <c r="B126" s="25">
        <v>10</v>
      </c>
      <c r="C126" s="26" t="s">
        <v>479</v>
      </c>
      <c r="D126" s="26" t="str">
        <f>IFERROR(VLOOKUP(C126,'07数值索引'!$A$5:$S$80,19,FALSE),"未找到事件")</f>
        <v>主动关闭最便利的旧权力入口</v>
      </c>
      <c r="E126" s="25">
        <f>SUMIFS($O$5:O125,$A$5:$A125,A126)</f>
        <v>11</v>
      </c>
      <c r="F126" s="25">
        <f>SUMIFS($P$5:P125,$A$5:$A125,A126)</f>
        <v>0</v>
      </c>
      <c r="G126" s="25">
        <f>SUMIFS($Q$5:Q125,$A$5:$A125,A126)</f>
        <v>4</v>
      </c>
      <c r="H126" s="25">
        <f>SUMIFS($R$5:R125,$A$5:$A125,A126)</f>
        <v>1</v>
      </c>
      <c r="I126" s="25">
        <f>SUMIFS($S$5:S125,$A$5:$A125,A126)</f>
        <v>3</v>
      </c>
      <c r="J126" s="25">
        <f>SUMIFS($T$5:T125,$A$5:$A125,A126)</f>
        <v>2</v>
      </c>
      <c r="K126" s="25">
        <f>SUMIFS($U$5:U125,$A$5:$A125,A126)</f>
        <v>0</v>
      </c>
      <c r="L126" s="25">
        <f>SUMIFS($V$5:V125,$A$5:$A125,A126)</f>
        <v>0</v>
      </c>
      <c r="M126" s="27" t="s">
        <v>723</v>
      </c>
      <c r="N126" s="26" t="str">
        <f>IF(COUNTIF('07数值索引'!$A$5:$A$80,C126)=1,"PASS","CHECK")</f>
        <v>PASS</v>
      </c>
      <c r="O126" s="26">
        <f>SUMIF('07数值索引'!$A$5:$A$80,C126,'07数值索引'!$D$5:$D$80)</f>
        <v>2</v>
      </c>
      <c r="P126" s="26">
        <f>SUMIF('07数值索引'!$A$5:$A$80,C126,'07数值索引'!$E$5:$E$80)</f>
        <v>-1</v>
      </c>
      <c r="Q126" s="26">
        <f>SUMIF('07数值索引'!$A$5:$A$80,C126,'07数值索引'!$F$5:$F$80)</f>
        <v>1</v>
      </c>
      <c r="R126" s="26">
        <f>SUMIF('07数值索引'!$A$5:$A$80,C126,'07数值索引'!$G$5:$G$80)</f>
        <v>0</v>
      </c>
      <c r="S126" s="26">
        <f>SUMIF('07数值索引'!$A$5:$A$80,C126,'07数值索引'!$M$5:$M$80)</f>
        <v>0</v>
      </c>
      <c r="T126" s="26">
        <f>SUMIF('07数值索引'!$A$5:$A$80,C126,'07数值索引'!$H$5:$H$80)</f>
        <v>0</v>
      </c>
      <c r="U126" s="26">
        <f>SUMIF('07数值索引'!$A$5:$A$80,C126,'07数值索引'!$I$5:$I$80)</f>
        <v>0</v>
      </c>
      <c r="V126" s="26">
        <f>SUMIF('07数值索引'!$A$5:$A$80,C126,'07数值索引'!$J$5:$J$80)</f>
        <v>0</v>
      </c>
    </row>
    <row r="127" ht="29" spans="1:22">
      <c r="A127" s="24" t="s">
        <v>697</v>
      </c>
      <c r="B127" s="25">
        <v>11</v>
      </c>
      <c r="C127" s="26" t="s">
        <v>636</v>
      </c>
      <c r="D127" s="26" t="str">
        <f>IFERROR(VLOOKUP(C127,'07数值索引'!$A$5:$S$80,19,FALSE),"未找到事件")</f>
        <v>阿禾中信任时只带证据离开，不共享撤离路线；魏先在阿芸离开前截住她</v>
      </c>
      <c r="E127" s="25">
        <f>SUMIFS($O$5:O126,$A$5:$A126,A127)</f>
        <v>13</v>
      </c>
      <c r="F127" s="25">
        <f>SUMIFS($P$5:P126,$A$5:$A126,A127)</f>
        <v>-1</v>
      </c>
      <c r="G127" s="25">
        <f>SUMIFS($Q$5:Q126,$A$5:$A126,A127)</f>
        <v>5</v>
      </c>
      <c r="H127" s="25">
        <f>SUMIFS($R$5:R126,$A$5:$A126,A127)</f>
        <v>1</v>
      </c>
      <c r="I127" s="25">
        <f>SUMIFS($S$5:S126,$A$5:$A126,A127)</f>
        <v>3</v>
      </c>
      <c r="J127" s="25">
        <f>SUMIFS($T$5:T126,$A$5:$A126,A127)</f>
        <v>2</v>
      </c>
      <c r="K127" s="25">
        <f>SUMIFS($U$5:U126,$A$5:$A126,A127)</f>
        <v>0</v>
      </c>
      <c r="L127" s="25">
        <f>SUMIFS($V$5:V126,$A$5:$A126,A127)</f>
        <v>0</v>
      </c>
      <c r="M127" s="27" t="s">
        <v>723</v>
      </c>
      <c r="N127" s="26" t="str">
        <f>IF(COUNTIF('07数值索引'!$A$5:$A$80,C127)=1,"PASS","CHECK")</f>
        <v>PASS</v>
      </c>
      <c r="O127" s="26">
        <f>SUMIF('07数值索引'!$A$5:$A$80,C127,'07数值索引'!$D$5:$D$80)</f>
        <v>0</v>
      </c>
      <c r="P127" s="26">
        <f>SUMIF('07数值索引'!$A$5:$A$80,C127,'07数值索引'!$E$5:$E$80)</f>
        <v>0</v>
      </c>
      <c r="Q127" s="26">
        <f>SUMIF('07数值索引'!$A$5:$A$80,C127,'07数值索引'!$F$5:$F$80)</f>
        <v>0</v>
      </c>
      <c r="R127" s="26">
        <f>SUMIF('07数值索引'!$A$5:$A$80,C127,'07数值索引'!$G$5:$G$80)</f>
        <v>2</v>
      </c>
      <c r="S127" s="26">
        <f>SUMIF('07数值索引'!$A$5:$A$80,C127,'07数值索引'!$M$5:$M$80)</f>
        <v>0</v>
      </c>
      <c r="T127" s="26">
        <f>SUMIF('07数值索引'!$A$5:$A$80,C127,'07数值索引'!$H$5:$H$80)</f>
        <v>0</v>
      </c>
      <c r="U127" s="26">
        <f>SUMIF('07数值索引'!$A$5:$A$80,C127,'07数值索引'!$I$5:$I$80)</f>
        <v>0</v>
      </c>
      <c r="V127" s="26">
        <f>SUMIF('07数值索引'!$A$5:$A$80,C127,'07数值索引'!$J$5:$J$80)</f>
        <v>0</v>
      </c>
    </row>
    <row r="128" ht="14.5" spans="1:22">
      <c r="A128" s="24" t="s">
        <v>697</v>
      </c>
      <c r="B128" s="25">
        <v>12</v>
      </c>
      <c r="C128" s="26" t="s">
        <v>209</v>
      </c>
      <c r="D128" s="26" t="str">
        <f>IFERROR(VLOOKUP(C128,'07数值索引'!$A$5:$S$80,19,FALSE),"未找到事件")</f>
        <v>让阿禾带证据先走，阿芸留下拖住追兵</v>
      </c>
      <c r="E128" s="25">
        <f>SUMIFS($O$5:O127,$A$5:$A127,A128)</f>
        <v>13</v>
      </c>
      <c r="F128" s="25">
        <f>SUMIFS($P$5:P127,$A$5:$A127,A128)</f>
        <v>-1</v>
      </c>
      <c r="G128" s="25">
        <f>SUMIFS($Q$5:Q127,$A$5:$A127,A128)</f>
        <v>5</v>
      </c>
      <c r="H128" s="25">
        <f>SUMIFS($R$5:R127,$A$5:$A127,A128)</f>
        <v>3</v>
      </c>
      <c r="I128" s="25">
        <f>SUMIFS($S$5:S127,$A$5:$A127,A128)</f>
        <v>3</v>
      </c>
      <c r="J128" s="25">
        <f>SUMIFS($T$5:T127,$A$5:$A127,A128)</f>
        <v>2</v>
      </c>
      <c r="K128" s="25">
        <f>SUMIFS($U$5:U127,$A$5:$A127,A128)</f>
        <v>0</v>
      </c>
      <c r="L128" s="25">
        <f>SUMIFS($V$5:V127,$A$5:$A127,A128)</f>
        <v>0</v>
      </c>
      <c r="M128" s="27" t="s">
        <v>723</v>
      </c>
      <c r="N128" s="26" t="str">
        <f>IF(COUNTIF('07数值索引'!$A$5:$A$80,C128)=1,"PASS","CHECK")</f>
        <v>PASS</v>
      </c>
      <c r="O128" s="26">
        <f>SUMIF('07数值索引'!$A$5:$A$80,C128,'07数值索引'!$D$5:$D$80)</f>
        <v>2</v>
      </c>
      <c r="P128" s="26">
        <f>SUMIF('07数值索引'!$A$5:$A$80,C128,'07数值索引'!$E$5:$E$80)</f>
        <v>0</v>
      </c>
      <c r="Q128" s="26">
        <f>SUMIF('07数值索引'!$A$5:$A$80,C128,'07数值索引'!$F$5:$F$80)</f>
        <v>2</v>
      </c>
      <c r="R128" s="26">
        <f>SUMIF('07数值索引'!$A$5:$A$80,C128,'07数值索引'!$G$5:$G$80)</f>
        <v>3</v>
      </c>
      <c r="S128" s="26">
        <f>SUMIF('07数值索引'!$A$5:$A$80,C128,'07数值索引'!$M$5:$M$80)</f>
        <v>0</v>
      </c>
      <c r="T128" s="26">
        <f>SUMIF('07数值索引'!$A$5:$A$80,C128,'07数值索引'!$H$5:$H$80)</f>
        <v>0</v>
      </c>
      <c r="U128" s="26">
        <f>SUMIF('07数值索引'!$A$5:$A$80,C128,'07数值索引'!$I$5:$I$80)</f>
        <v>0</v>
      </c>
      <c r="V128" s="26">
        <f>SUMIF('07数值索引'!$A$5:$A$80,C128,'07数值索引'!$J$5:$J$80)</f>
        <v>0</v>
      </c>
    </row>
  </sheetData>
  <mergeCells count="2">
    <mergeCell ref="A1:Z1"/>
    <mergeCell ref="A2:Z2"/>
  </mergeCells>
  <conditionalFormatting sqref="N5:N128">
    <cfRule type="containsText" dxfId="4" priority="1" operator="between" text="PASS">
      <formula>NOT(ISERROR(SEARCH("PASS",N5)))</formula>
    </cfRule>
    <cfRule type="containsText" dxfId="5" priority="2" operator="between" text="CHECK">
      <formula>NOT(ISERROR(SEARCH("CHECK",N5)))</formula>
    </cfRule>
  </conditionalFormatting>
  <conditionalFormatting sqref="Z5:Z15">
    <cfRule type="containsText" dxfId="4" priority="3" operator="between" text="PASS">
      <formula>NOT(ISERROR(SEARCH("PASS",Z5)))</formula>
    </cfRule>
    <cfRule type="containsText" dxfId="5" priority="4" operator="between" text="CHECK">
      <formula>NOT(ISERROR(SEARCH("CHECK",Z5)))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showGridLines="0" topLeftCell="A9" workbookViewId="0">
      <selection activeCell="A1" sqref="A1:J1"/>
    </sheetView>
  </sheetViews>
  <sheetFormatPr defaultColWidth="9" defaultRowHeight="14"/>
  <cols>
    <col min="1" max="1" width="12" customWidth="1"/>
    <col min="2" max="2" width="18" customWidth="1"/>
    <col min="3" max="3" width="34" customWidth="1"/>
    <col min="4" max="5" width="30" customWidth="1"/>
    <col min="6" max="7" width="40" customWidth="1"/>
    <col min="8" max="8" width="34" customWidth="1"/>
    <col min="9" max="9" width="32" customWidth="1"/>
    <col min="10" max="10" width="16" customWidth="1"/>
  </cols>
  <sheetData>
    <row r="1" ht="28" customHeight="1" spans="1:10">
      <c r="A1" s="1" t="s">
        <v>729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730</v>
      </c>
      <c r="B2" s="2"/>
      <c r="C2" s="2"/>
      <c r="D2" s="2"/>
      <c r="E2" s="2"/>
      <c r="F2" s="2"/>
      <c r="G2" s="2"/>
      <c r="H2" s="2"/>
      <c r="I2" s="2"/>
      <c r="J2" s="2"/>
    </row>
    <row r="4" ht="14.5" spans="1:10">
      <c r="A4" s="3" t="s">
        <v>731</v>
      </c>
      <c r="B4" s="3" t="s">
        <v>67</v>
      </c>
      <c r="C4" s="3" t="s">
        <v>732</v>
      </c>
      <c r="D4" s="3" t="s">
        <v>733</v>
      </c>
      <c r="E4" s="3" t="s">
        <v>734</v>
      </c>
      <c r="F4" s="3" t="s">
        <v>735</v>
      </c>
      <c r="G4" s="3" t="s">
        <v>736</v>
      </c>
      <c r="H4" s="3" t="s">
        <v>737</v>
      </c>
      <c r="I4" s="3" t="s">
        <v>738</v>
      </c>
      <c r="J4" s="3" t="s">
        <v>739</v>
      </c>
    </row>
    <row r="5" ht="78" customHeight="1" spans="1:10">
      <c r="A5" s="12" t="s">
        <v>74</v>
      </c>
      <c r="B5" s="4" t="s">
        <v>75</v>
      </c>
      <c r="C5" s="5" t="s">
        <v>740</v>
      </c>
      <c r="D5" s="5" t="s">
        <v>741</v>
      </c>
      <c r="E5" s="5" t="s">
        <v>742</v>
      </c>
      <c r="F5" s="5" t="s">
        <v>743</v>
      </c>
      <c r="G5" s="5" t="s">
        <v>744</v>
      </c>
      <c r="H5" s="5" t="s">
        <v>745</v>
      </c>
      <c r="I5" s="5" t="s">
        <v>746</v>
      </c>
      <c r="J5" s="5" t="s">
        <v>747</v>
      </c>
    </row>
    <row r="6" ht="78" customHeight="1" spans="1:10">
      <c r="A6" s="13" t="s">
        <v>82</v>
      </c>
      <c r="B6" s="7" t="s">
        <v>83</v>
      </c>
      <c r="C6" s="8" t="s">
        <v>748</v>
      </c>
      <c r="D6" s="8" t="s">
        <v>749</v>
      </c>
      <c r="E6" s="8" t="s">
        <v>750</v>
      </c>
      <c r="F6" s="8" t="s">
        <v>751</v>
      </c>
      <c r="G6" s="8" t="s">
        <v>752</v>
      </c>
      <c r="H6" s="8" t="s">
        <v>753</v>
      </c>
      <c r="I6" s="8" t="s">
        <v>754</v>
      </c>
      <c r="J6" s="8" t="s">
        <v>747</v>
      </c>
    </row>
    <row r="7" ht="78" customHeight="1" spans="1:10">
      <c r="A7" s="13" t="s">
        <v>89</v>
      </c>
      <c r="B7" s="7" t="s">
        <v>90</v>
      </c>
      <c r="C7" s="8" t="s">
        <v>755</v>
      </c>
      <c r="D7" s="8" t="s">
        <v>756</v>
      </c>
      <c r="E7" s="8" t="s">
        <v>757</v>
      </c>
      <c r="F7" s="8" t="s">
        <v>758</v>
      </c>
      <c r="G7" s="8" t="s">
        <v>759</v>
      </c>
      <c r="H7" s="8" t="s">
        <v>760</v>
      </c>
      <c r="I7" s="8" t="s">
        <v>761</v>
      </c>
      <c r="J7" s="8" t="s">
        <v>747</v>
      </c>
    </row>
    <row r="8" ht="78" customHeight="1" spans="1:10">
      <c r="A8" s="13" t="s">
        <v>97</v>
      </c>
      <c r="B8" s="7" t="s">
        <v>98</v>
      </c>
      <c r="C8" s="8" t="s">
        <v>762</v>
      </c>
      <c r="D8" s="8" t="s">
        <v>763</v>
      </c>
      <c r="E8" s="8" t="s">
        <v>764</v>
      </c>
      <c r="F8" s="8" t="s">
        <v>765</v>
      </c>
      <c r="G8" s="8" t="s">
        <v>766</v>
      </c>
      <c r="H8" s="8" t="s">
        <v>767</v>
      </c>
      <c r="I8" s="8" t="s">
        <v>768</v>
      </c>
      <c r="J8" s="8" t="s">
        <v>747</v>
      </c>
    </row>
    <row r="9" ht="78" customHeight="1" spans="1:10">
      <c r="A9" s="13" t="s">
        <v>105</v>
      </c>
      <c r="B9" s="7" t="s">
        <v>106</v>
      </c>
      <c r="C9" s="8" t="s">
        <v>769</v>
      </c>
      <c r="D9" s="8" t="s">
        <v>770</v>
      </c>
      <c r="E9" s="8" t="s">
        <v>771</v>
      </c>
      <c r="F9" s="8" t="s">
        <v>772</v>
      </c>
      <c r="G9" s="8" t="s">
        <v>773</v>
      </c>
      <c r="H9" s="8" t="s">
        <v>774</v>
      </c>
      <c r="I9" s="8" t="s">
        <v>775</v>
      </c>
      <c r="J9" s="8" t="s">
        <v>747</v>
      </c>
    </row>
    <row r="10" ht="78" customHeight="1" spans="1:10">
      <c r="A10" s="13" t="s">
        <v>113</v>
      </c>
      <c r="B10" s="7" t="s">
        <v>114</v>
      </c>
      <c r="C10" s="8" t="s">
        <v>776</v>
      </c>
      <c r="D10" s="8" t="s">
        <v>777</v>
      </c>
      <c r="E10" s="8" t="s">
        <v>778</v>
      </c>
      <c r="F10" s="8" t="s">
        <v>779</v>
      </c>
      <c r="G10" s="8" t="s">
        <v>780</v>
      </c>
      <c r="H10" s="8" t="s">
        <v>781</v>
      </c>
      <c r="I10" s="8" t="s">
        <v>782</v>
      </c>
      <c r="J10" s="8" t="s">
        <v>783</v>
      </c>
    </row>
    <row r="11" ht="78" customHeight="1" spans="1:10">
      <c r="A11" s="13" t="s">
        <v>121</v>
      </c>
      <c r="B11" s="7" t="s">
        <v>122</v>
      </c>
      <c r="C11" s="8" t="s">
        <v>784</v>
      </c>
      <c r="D11" s="8" t="s">
        <v>785</v>
      </c>
      <c r="E11" s="8" t="s">
        <v>786</v>
      </c>
      <c r="F11" s="8" t="s">
        <v>787</v>
      </c>
      <c r="G11" s="8" t="s">
        <v>788</v>
      </c>
      <c r="H11" s="8" t="s">
        <v>789</v>
      </c>
      <c r="I11" s="8" t="s">
        <v>790</v>
      </c>
      <c r="J11" s="8" t="s">
        <v>791</v>
      </c>
    </row>
    <row r="12" ht="78" customHeight="1" spans="1:10">
      <c r="A12" s="13" t="s">
        <v>129</v>
      </c>
      <c r="B12" s="7" t="s">
        <v>130</v>
      </c>
      <c r="C12" s="8" t="s">
        <v>792</v>
      </c>
      <c r="D12" s="8" t="s">
        <v>793</v>
      </c>
      <c r="E12" s="8" t="s">
        <v>794</v>
      </c>
      <c r="F12" s="8" t="s">
        <v>795</v>
      </c>
      <c r="G12" s="8" t="s">
        <v>796</v>
      </c>
      <c r="H12" s="8" t="s">
        <v>797</v>
      </c>
      <c r="I12" s="8" t="s">
        <v>798</v>
      </c>
      <c r="J12" s="8" t="s">
        <v>799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workbookViewId="0">
      <selection activeCell="A1" sqref="A1:H1"/>
    </sheetView>
  </sheetViews>
  <sheetFormatPr defaultColWidth="9" defaultRowHeight="14" outlineLevelCol="7"/>
  <cols>
    <col min="1" max="1" width="22" customWidth="1"/>
    <col min="2" max="2" width="30" customWidth="1"/>
    <col min="3" max="4" width="34" customWidth="1"/>
    <col min="5" max="6" width="42" customWidth="1"/>
    <col min="7" max="7" width="26" customWidth="1"/>
    <col min="8" max="8" width="38" customWidth="1"/>
  </cols>
  <sheetData>
    <row r="1" ht="28" customHeight="1" spans="1:8">
      <c r="A1" s="1" t="s">
        <v>800</v>
      </c>
      <c r="B1" s="1"/>
      <c r="C1" s="1"/>
      <c r="D1" s="1"/>
      <c r="E1" s="1"/>
      <c r="F1" s="1"/>
      <c r="G1" s="1"/>
      <c r="H1" s="1"/>
    </row>
    <row r="2" ht="34" customHeight="1" spans="1:8">
      <c r="A2" s="2" t="s">
        <v>801</v>
      </c>
      <c r="B2" s="2"/>
      <c r="C2" s="2"/>
      <c r="D2" s="2"/>
      <c r="E2" s="2"/>
      <c r="F2" s="2"/>
      <c r="G2" s="2"/>
      <c r="H2" s="2"/>
    </row>
    <row r="4" ht="14.5" spans="1:8">
      <c r="A4" s="3" t="s">
        <v>802</v>
      </c>
      <c r="B4" s="3" t="s">
        <v>803</v>
      </c>
      <c r="C4" s="3" t="s">
        <v>804</v>
      </c>
      <c r="D4" s="3" t="s">
        <v>805</v>
      </c>
      <c r="E4" s="3" t="s">
        <v>806</v>
      </c>
      <c r="F4" s="3" t="s">
        <v>807</v>
      </c>
      <c r="G4" s="3" t="s">
        <v>808</v>
      </c>
      <c r="H4" s="3" t="s">
        <v>809</v>
      </c>
    </row>
    <row r="5" ht="86" customHeight="1" spans="1:8">
      <c r="A5" s="12" t="s">
        <v>443</v>
      </c>
      <c r="B5" s="5" t="s">
        <v>810</v>
      </c>
      <c r="C5" s="5" t="s">
        <v>811</v>
      </c>
      <c r="D5" s="5" t="s">
        <v>812</v>
      </c>
      <c r="E5" s="5" t="s">
        <v>813</v>
      </c>
      <c r="F5" s="5" t="s">
        <v>814</v>
      </c>
      <c r="G5" s="5" t="s">
        <v>815</v>
      </c>
      <c r="H5" s="5" t="s">
        <v>816</v>
      </c>
    </row>
    <row r="6" ht="86" customHeight="1" spans="1:8">
      <c r="A6" s="13" t="s">
        <v>447</v>
      </c>
      <c r="B6" s="8" t="s">
        <v>817</v>
      </c>
      <c r="C6" s="8" t="s">
        <v>818</v>
      </c>
      <c r="D6" s="8" t="s">
        <v>819</v>
      </c>
      <c r="E6" s="8" t="s">
        <v>820</v>
      </c>
      <c r="F6" s="8" t="s">
        <v>821</v>
      </c>
      <c r="G6" s="8" t="s">
        <v>822</v>
      </c>
      <c r="H6" s="8" t="s">
        <v>823</v>
      </c>
    </row>
    <row r="7" ht="86" customHeight="1" spans="1:8">
      <c r="A7" s="13" t="s">
        <v>451</v>
      </c>
      <c r="B7" s="8" t="s">
        <v>824</v>
      </c>
      <c r="C7" s="8" t="s">
        <v>825</v>
      </c>
      <c r="D7" s="8" t="s">
        <v>826</v>
      </c>
      <c r="E7" s="8" t="s">
        <v>827</v>
      </c>
      <c r="F7" s="8" t="s">
        <v>828</v>
      </c>
      <c r="G7" s="8" t="s">
        <v>829</v>
      </c>
      <c r="H7" s="8" t="s">
        <v>830</v>
      </c>
    </row>
    <row r="8" ht="86" customHeight="1" spans="1:8">
      <c r="A8" s="13" t="s">
        <v>831</v>
      </c>
      <c r="B8" s="8" t="s">
        <v>832</v>
      </c>
      <c r="C8" s="8" t="s">
        <v>833</v>
      </c>
      <c r="D8" s="8" t="s">
        <v>834</v>
      </c>
      <c r="E8" s="8" t="s">
        <v>835</v>
      </c>
      <c r="F8" s="8" t="s">
        <v>836</v>
      </c>
      <c r="G8" s="8" t="s">
        <v>837</v>
      </c>
      <c r="H8" s="8" t="s">
        <v>838</v>
      </c>
    </row>
    <row r="10" ht="16.5" spans="1:8">
      <c r="A10" s="14" t="s">
        <v>839</v>
      </c>
      <c r="B10" s="14"/>
      <c r="C10" s="14"/>
      <c r="D10" s="14"/>
      <c r="E10" s="14"/>
      <c r="F10" s="14"/>
      <c r="G10" s="14"/>
      <c r="H10" s="14"/>
    </row>
    <row r="11" ht="14.5" spans="1:8">
      <c r="A11" s="3" t="s">
        <v>840</v>
      </c>
      <c r="B11" s="3" t="s">
        <v>841</v>
      </c>
      <c r="C11" s="3" t="s">
        <v>842</v>
      </c>
      <c r="D11" s="3" t="s">
        <v>843</v>
      </c>
      <c r="E11" s="3" t="s">
        <v>844</v>
      </c>
      <c r="F11" s="3" t="s">
        <v>845</v>
      </c>
    </row>
    <row r="12" ht="64" customHeight="1" spans="1:8">
      <c r="A12" s="4" t="s">
        <v>846</v>
      </c>
      <c r="B12" s="5" t="s">
        <v>847</v>
      </c>
      <c r="C12" s="5" t="s">
        <v>848</v>
      </c>
      <c r="D12" s="5" t="s">
        <v>849</v>
      </c>
      <c r="E12" s="5" t="s">
        <v>850</v>
      </c>
      <c r="F12" s="5" t="s">
        <v>851</v>
      </c>
    </row>
    <row r="13" ht="64" customHeight="1" spans="1:8">
      <c r="A13" s="7" t="s">
        <v>852</v>
      </c>
      <c r="B13" s="8" t="s">
        <v>853</v>
      </c>
      <c r="C13" s="8" t="s">
        <v>854</v>
      </c>
      <c r="D13" s="8" t="s">
        <v>855</v>
      </c>
      <c r="E13" s="8" t="s">
        <v>856</v>
      </c>
      <c r="F13" s="8" t="s">
        <v>857</v>
      </c>
    </row>
    <row r="14" ht="64" customHeight="1" spans="1:8">
      <c r="A14" s="7" t="s">
        <v>858</v>
      </c>
      <c r="B14" s="8" t="s">
        <v>859</v>
      </c>
      <c r="C14" s="8" t="s">
        <v>860</v>
      </c>
      <c r="D14" s="8" t="s">
        <v>861</v>
      </c>
      <c r="E14" s="8" t="s">
        <v>862</v>
      </c>
      <c r="F14" s="8" t="s">
        <v>863</v>
      </c>
    </row>
  </sheetData>
  <mergeCells count="3">
    <mergeCell ref="A1:H1"/>
    <mergeCell ref="A2:H2"/>
    <mergeCell ref="A10:H10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showGridLines="0" workbookViewId="0">
      <selection activeCell="I16" sqref="I16"/>
    </sheetView>
  </sheetViews>
  <sheetFormatPr defaultColWidth="8" defaultRowHeight="15.5" outlineLevelCol="4"/>
  <cols>
    <col min="1" max="1" width="8" style="9" customWidth="1"/>
    <col min="2" max="2" width="38" style="10" customWidth="1"/>
    <col min="3" max="3" width="62" style="11" customWidth="1"/>
    <col min="4" max="4" width="28" style="11" customWidth="1"/>
    <col min="5" max="5" width="16" style="11" customWidth="1"/>
    <col min="6" max="16384" width="8" style="11"/>
  </cols>
  <sheetData>
    <row r="1" spans="1:5">
      <c r="A1"/>
      <c r="B1"/>
    </row>
    <row r="2" ht="14.5" spans="1:5">
      <c r="A2" s="3" t="s">
        <v>731</v>
      </c>
      <c r="B2" s="3" t="s">
        <v>561</v>
      </c>
      <c r="C2" s="3" t="s">
        <v>864</v>
      </c>
      <c r="D2" s="3" t="s">
        <v>865</v>
      </c>
      <c r="E2" s="3" t="s">
        <v>866</v>
      </c>
    </row>
    <row r="3" ht="62" customHeight="1" spans="1:5">
      <c r="A3" s="4">
        <v>1</v>
      </c>
      <c r="B3" s="5" t="s">
        <v>867</v>
      </c>
      <c r="C3" s="5" t="s">
        <v>868</v>
      </c>
      <c r="D3" s="5" t="s">
        <v>869</v>
      </c>
      <c r="E3" s="5" t="s">
        <v>870</v>
      </c>
    </row>
    <row r="4" ht="62" customHeight="1" spans="1:5">
      <c r="A4" s="7">
        <v>2</v>
      </c>
      <c r="B4" s="8" t="s">
        <v>871</v>
      </c>
      <c r="C4" s="8" t="s">
        <v>872</v>
      </c>
      <c r="D4" s="8" t="s">
        <v>873</v>
      </c>
      <c r="E4" s="8" t="s">
        <v>870</v>
      </c>
    </row>
    <row r="5" ht="62" customHeight="1" spans="1:5">
      <c r="A5" s="7">
        <v>3</v>
      </c>
      <c r="B5" s="8" t="s">
        <v>874</v>
      </c>
      <c r="C5" s="8" t="s">
        <v>875</v>
      </c>
      <c r="D5" s="8" t="s">
        <v>876</v>
      </c>
      <c r="E5" s="8" t="s">
        <v>870</v>
      </c>
    </row>
    <row r="6" ht="62" customHeight="1" spans="1:5">
      <c r="A6" s="7">
        <v>4</v>
      </c>
      <c r="B6" s="8" t="s">
        <v>877</v>
      </c>
      <c r="C6" s="8" t="s">
        <v>878</v>
      </c>
      <c r="D6" s="8" t="s">
        <v>879</v>
      </c>
      <c r="E6" s="8" t="s">
        <v>870</v>
      </c>
    </row>
    <row r="7" ht="62" customHeight="1" spans="1:5">
      <c r="A7" s="7">
        <v>5</v>
      </c>
      <c r="B7" s="8" t="s">
        <v>880</v>
      </c>
      <c r="C7" s="8" t="s">
        <v>881</v>
      </c>
      <c r="D7" s="8" t="s">
        <v>882</v>
      </c>
      <c r="E7" s="8" t="s">
        <v>870</v>
      </c>
    </row>
    <row r="8" ht="62" customHeight="1" spans="1:5">
      <c r="A8" s="7">
        <v>6</v>
      </c>
      <c r="B8" s="8" t="s">
        <v>883</v>
      </c>
      <c r="C8" s="8" t="s">
        <v>884</v>
      </c>
      <c r="D8" s="8" t="s">
        <v>885</v>
      </c>
      <c r="E8" s="8" t="s">
        <v>870</v>
      </c>
    </row>
    <row r="9" ht="62" customHeight="1" spans="1:5">
      <c r="A9" s="7">
        <v>7</v>
      </c>
      <c r="B9" s="8" t="s">
        <v>886</v>
      </c>
      <c r="C9" s="8" t="s">
        <v>887</v>
      </c>
      <c r="D9" s="8" t="s">
        <v>888</v>
      </c>
      <c r="E9" s="8" t="s">
        <v>870</v>
      </c>
    </row>
    <row r="10" ht="62" customHeight="1" spans="1:5">
      <c r="A10" s="7">
        <v>8</v>
      </c>
      <c r="B10" s="8" t="s">
        <v>889</v>
      </c>
      <c r="C10" s="8" t="s">
        <v>890</v>
      </c>
      <c r="D10" s="8" t="s">
        <v>891</v>
      </c>
      <c r="E10" s="8" t="s">
        <v>870</v>
      </c>
    </row>
    <row r="11" ht="62" customHeight="1" spans="1:5">
      <c r="A11" s="7">
        <v>9</v>
      </c>
      <c r="B11" s="8" t="s">
        <v>892</v>
      </c>
      <c r="C11" s="8" t="s">
        <v>893</v>
      </c>
      <c r="D11" s="8" t="s">
        <v>894</v>
      </c>
      <c r="E11" s="8" t="s">
        <v>870</v>
      </c>
    </row>
    <row r="12" ht="62" customHeight="1" spans="1:5">
      <c r="A12" s="7">
        <v>10</v>
      </c>
      <c r="B12" s="8" t="s">
        <v>895</v>
      </c>
      <c r="C12" s="8" t="s">
        <v>896</v>
      </c>
      <c r="D12" s="8" t="s">
        <v>897</v>
      </c>
      <c r="E12" s="8" t="s">
        <v>870</v>
      </c>
    </row>
    <row r="13" ht="62" customHeight="1" spans="1:5">
      <c r="A13" s="7">
        <v>11</v>
      </c>
      <c r="B13" s="8" t="s">
        <v>898</v>
      </c>
      <c r="C13" s="8" t="s">
        <v>899</v>
      </c>
      <c r="D13" s="8" t="s">
        <v>900</v>
      </c>
      <c r="E13" s="8" t="s">
        <v>870</v>
      </c>
    </row>
    <row r="14" ht="62" customHeight="1" spans="1:5">
      <c r="A14" s="7">
        <v>12</v>
      </c>
      <c r="B14" s="8" t="s">
        <v>901</v>
      </c>
      <c r="C14" s="8" t="s">
        <v>902</v>
      </c>
      <c r="D14" s="8" t="s">
        <v>903</v>
      </c>
      <c r="E14" s="8" t="s">
        <v>904</v>
      </c>
    </row>
    <row r="15" ht="62" customHeight="1" spans="1:5">
      <c r="A15" s="7">
        <v>13</v>
      </c>
      <c r="B15" s="8" t="s">
        <v>905</v>
      </c>
      <c r="C15" s="8" t="s">
        <v>906</v>
      </c>
      <c r="D15" s="8" t="s">
        <v>907</v>
      </c>
      <c r="E15" s="8" t="s">
        <v>870</v>
      </c>
    </row>
    <row r="16" ht="62" customHeight="1" spans="1:5">
      <c r="A16" s="7">
        <v>14</v>
      </c>
      <c r="B16" s="8" t="s">
        <v>908</v>
      </c>
      <c r="C16" s="8" t="s">
        <v>909</v>
      </c>
      <c r="D16" s="8" t="s">
        <v>54</v>
      </c>
      <c r="E16" s="8" t="s">
        <v>910</v>
      </c>
    </row>
    <row r="17" ht="62" customHeight="1" spans="1:5">
      <c r="A17" s="7">
        <v>15</v>
      </c>
      <c r="B17" s="8" t="s">
        <v>911</v>
      </c>
      <c r="C17" s="8" t="s">
        <v>912</v>
      </c>
      <c r="D17" s="8" t="s">
        <v>913</v>
      </c>
      <c r="E17" s="8" t="s">
        <v>910</v>
      </c>
    </row>
  </sheetData>
  <conditionalFormatting sqref="E3:E17">
    <cfRule type="containsText" dxfId="4" priority="1" operator="between" text="已">
      <formula>NOT(ISERROR(SEARCH("已",E3)))</formula>
    </cfRule>
    <cfRule type="containsText" dxfId="6" priority="2" operator="between" text="待">
      <formula>NOT(ISERROR(SEARCH("待",E3)))</formula>
    </cfRule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topLeftCell="A4" workbookViewId="0">
      <selection activeCell="D5" sqref="D5"/>
    </sheetView>
  </sheetViews>
  <sheetFormatPr defaultColWidth="9" defaultRowHeight="14" outlineLevelCol="7"/>
  <cols>
    <col min="1" max="1" width="10" customWidth="1"/>
    <col min="2" max="2" width="12" customWidth="1"/>
    <col min="3" max="3" width="30" customWidth="1"/>
    <col min="4" max="4" width="36" customWidth="1"/>
    <col min="5" max="5" width="44" customWidth="1"/>
    <col min="6" max="7" width="42" customWidth="1"/>
    <col min="8" max="8" width="18" customWidth="1"/>
  </cols>
  <sheetData>
    <row r="1" ht="28" customHeight="1" spans="1:8">
      <c r="A1" s="1" t="s">
        <v>914</v>
      </c>
      <c r="B1" s="1"/>
      <c r="C1" s="1"/>
      <c r="D1" s="1"/>
      <c r="E1" s="1"/>
      <c r="F1" s="1"/>
      <c r="G1" s="1"/>
      <c r="H1" s="1"/>
    </row>
    <row r="2" ht="34" customHeight="1" spans="1:8">
      <c r="A2" s="2" t="s">
        <v>915</v>
      </c>
      <c r="B2" s="2"/>
      <c r="C2" s="2"/>
      <c r="D2" s="2"/>
      <c r="E2" s="2"/>
      <c r="F2" s="2"/>
      <c r="G2" s="2"/>
      <c r="H2" s="2"/>
    </row>
    <row r="4" ht="14.5" spans="1:8">
      <c r="A4" s="3" t="s">
        <v>731</v>
      </c>
      <c r="B4" s="3" t="s">
        <v>916</v>
      </c>
      <c r="C4" s="3" t="s">
        <v>917</v>
      </c>
      <c r="D4" s="3" t="s">
        <v>918</v>
      </c>
      <c r="E4" s="3" t="s">
        <v>919</v>
      </c>
      <c r="F4" s="3" t="s">
        <v>920</v>
      </c>
      <c r="G4" s="3" t="s">
        <v>921</v>
      </c>
      <c r="H4" s="3" t="s">
        <v>866</v>
      </c>
    </row>
    <row r="5" ht="72" customHeight="1" spans="1:8">
      <c r="A5" s="4" t="s">
        <v>922</v>
      </c>
      <c r="B5" s="5" t="s">
        <v>82</v>
      </c>
      <c r="C5" s="5" t="s">
        <v>923</v>
      </c>
      <c r="D5" s="5" t="s">
        <v>924</v>
      </c>
      <c r="E5" s="5" t="s">
        <v>925</v>
      </c>
      <c r="F5" s="5" t="s">
        <v>926</v>
      </c>
      <c r="G5" s="5" t="s">
        <v>927</v>
      </c>
      <c r="H5" s="6"/>
    </row>
    <row r="6" ht="72" customHeight="1" spans="1:8">
      <c r="A6" s="7" t="s">
        <v>928</v>
      </c>
      <c r="B6" s="8" t="s">
        <v>89</v>
      </c>
      <c r="C6" s="8" t="s">
        <v>929</v>
      </c>
      <c r="D6" s="8" t="s">
        <v>930</v>
      </c>
      <c r="E6" s="8" t="s">
        <v>931</v>
      </c>
      <c r="F6" s="8" t="s">
        <v>932</v>
      </c>
      <c r="G6" s="8" t="s">
        <v>933</v>
      </c>
      <c r="H6" s="6"/>
    </row>
    <row r="7" ht="72" customHeight="1" spans="1:8">
      <c r="A7" s="7" t="s">
        <v>934</v>
      </c>
      <c r="B7" s="8" t="s">
        <v>97</v>
      </c>
      <c r="C7" s="8" t="s">
        <v>935</v>
      </c>
      <c r="D7" s="8" t="s">
        <v>936</v>
      </c>
      <c r="E7" s="8" t="s">
        <v>937</v>
      </c>
      <c r="F7" s="8" t="s">
        <v>938</v>
      </c>
      <c r="G7" s="8" t="s">
        <v>939</v>
      </c>
      <c r="H7" s="6"/>
    </row>
    <row r="8" ht="72" customHeight="1" spans="1:8">
      <c r="A8" s="7" t="s">
        <v>940</v>
      </c>
      <c r="B8" s="8" t="s">
        <v>105</v>
      </c>
      <c r="C8" s="8" t="s">
        <v>941</v>
      </c>
      <c r="D8" s="8" t="s">
        <v>942</v>
      </c>
      <c r="E8" s="8" t="s">
        <v>943</v>
      </c>
      <c r="F8" s="8" t="s">
        <v>944</v>
      </c>
      <c r="G8" s="8" t="s">
        <v>945</v>
      </c>
      <c r="H8" s="6"/>
    </row>
    <row r="9" ht="72" customHeight="1" spans="1:8">
      <c r="A9" s="7" t="s">
        <v>946</v>
      </c>
      <c r="B9" s="8" t="s">
        <v>113</v>
      </c>
      <c r="C9" s="8" t="s">
        <v>947</v>
      </c>
      <c r="D9" s="8" t="s">
        <v>948</v>
      </c>
      <c r="E9" s="8" t="s">
        <v>949</v>
      </c>
      <c r="F9" s="8" t="s">
        <v>950</v>
      </c>
      <c r="G9" s="8" t="s">
        <v>951</v>
      </c>
      <c r="H9" s="6"/>
    </row>
    <row r="10" ht="72" customHeight="1" spans="1:8">
      <c r="A10" s="7" t="s">
        <v>952</v>
      </c>
      <c r="B10" s="8" t="s">
        <v>121</v>
      </c>
      <c r="C10" s="8" t="s">
        <v>953</v>
      </c>
      <c r="D10" s="8" t="s">
        <v>954</v>
      </c>
      <c r="E10" s="8" t="s">
        <v>955</v>
      </c>
      <c r="F10" s="8" t="s">
        <v>956</v>
      </c>
      <c r="G10" s="8" t="s">
        <v>957</v>
      </c>
      <c r="H10" s="6"/>
    </row>
    <row r="11" ht="72" customHeight="1" spans="1:8">
      <c r="A11" s="7" t="s">
        <v>958</v>
      </c>
      <c r="B11" s="8" t="s">
        <v>121</v>
      </c>
      <c r="C11" s="8" t="s">
        <v>959</v>
      </c>
      <c r="D11" s="8" t="s">
        <v>960</v>
      </c>
      <c r="E11" s="8" t="s">
        <v>961</v>
      </c>
      <c r="F11" s="8" t="s">
        <v>962</v>
      </c>
      <c r="G11" s="8" t="s">
        <v>963</v>
      </c>
      <c r="H11" s="6"/>
    </row>
    <row r="12" ht="72" customHeight="1" spans="1:8">
      <c r="A12" s="7" t="s">
        <v>964</v>
      </c>
      <c r="B12" s="8" t="s">
        <v>121</v>
      </c>
      <c r="C12" s="8" t="s">
        <v>965</v>
      </c>
      <c r="D12" s="8" t="s">
        <v>966</v>
      </c>
      <c r="E12" s="8" t="s">
        <v>967</v>
      </c>
      <c r="F12" s="8" t="s">
        <v>968</v>
      </c>
      <c r="G12" s="8" t="s">
        <v>969</v>
      </c>
      <c r="H12" s="6"/>
    </row>
    <row r="13" ht="72" customHeight="1" spans="1:8">
      <c r="A13" s="7" t="s">
        <v>970</v>
      </c>
      <c r="B13" s="8" t="s">
        <v>121</v>
      </c>
      <c r="C13" s="8" t="s">
        <v>971</v>
      </c>
      <c r="D13" s="8" t="s">
        <v>972</v>
      </c>
      <c r="E13" s="8" t="s">
        <v>973</v>
      </c>
      <c r="F13" s="8" t="s">
        <v>974</v>
      </c>
      <c r="G13" s="8" t="s">
        <v>975</v>
      </c>
      <c r="H13" s="6"/>
    </row>
    <row r="14" ht="72" customHeight="1" spans="1:8">
      <c r="A14" s="7" t="s">
        <v>976</v>
      </c>
      <c r="B14" s="8" t="s">
        <v>129</v>
      </c>
      <c r="C14" s="8" t="s">
        <v>977</v>
      </c>
      <c r="D14" s="8" t="s">
        <v>978</v>
      </c>
      <c r="E14" s="8" t="s">
        <v>979</v>
      </c>
      <c r="F14" s="8" t="s">
        <v>980</v>
      </c>
      <c r="G14" s="8" t="s">
        <v>981</v>
      </c>
      <c r="H14" s="6"/>
    </row>
  </sheetData>
  <mergeCells count="2">
    <mergeCell ref="A1:H1"/>
    <mergeCell ref="A2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00说明</vt:lpstr>
      <vt:lpstr>01知识状态</vt:lpstr>
      <vt:lpstr>02选项编号</vt:lpstr>
      <vt:lpstr>03_S03卡牌组合</vt:lpstr>
      <vt:lpstr>04卡牌生命周期</vt:lpstr>
      <vt:lpstr>05_S05物品处置</vt:lpstr>
      <vt:lpstr>06结局判定</vt:lpstr>
      <vt:lpstr>07数值索引</vt:lpstr>
      <vt:lpstr>08可达路径测试</vt:lpstr>
      <vt:lpstr>08A前置合法性</vt:lpstr>
      <vt:lpstr>00A主线剧情节拍</vt:lpstr>
      <vt:lpstr>05A终局分流</vt:lpstr>
      <vt:lpstr>bug整理</vt:lpstr>
      <vt:lpstr>09对白写作任务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Nania</cp:lastModifiedBy>
  <dcterms:created xsi:type="dcterms:W3CDTF">2026-08-16T16:51:00Z</dcterms:created>
  <dcterms:modified xsi:type="dcterms:W3CDTF">2026-09-24T06:58:51Z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C7E0D7252F734F2888A6168A415D3253_12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